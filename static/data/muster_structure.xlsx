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a0a008a5ddf25f/course_app/static/data/"/>
    </mc:Choice>
  </mc:AlternateContent>
  <xr:revisionPtr revIDLastSave="3" documentId="8_{D312181B-CABF-41EF-8783-451E859043CF}" xr6:coauthVersionLast="47" xr6:coauthVersionMax="47" xr10:uidLastSave="{153F846D-9D92-4DF2-957B-A2559A2E971E}"/>
  <bookViews>
    <workbookView xWindow="-108" yWindow="-108" windowWidth="23256" windowHeight="12456" firstSheet="3" activeTab="6" xr2:uid="{694F33D7-6233-4AA8-B5EC-174F6E3B6B04}"/>
  </bookViews>
  <sheets>
    <sheet name="README" sheetId="1" r:id="rId1"/>
    <sheet name="Levels" sheetId="2" r:id="rId2"/>
    <sheet name="Words" sheetId="3" r:id="rId3"/>
    <sheet name="Verb_Forms" sheetId="4" r:id="rId4"/>
    <sheet name="Patterns" sheetId="5" r:id="rId5"/>
    <sheet name="Pattern_Slots" sheetId="6" r:id="rId6"/>
    <sheet name="Challeng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E4" i="1"/>
  <c r="E3" i="1"/>
  <c r="E2" i="1"/>
  <c r="I13" i="2"/>
  <c r="I12" i="2"/>
  <c r="I11" i="2"/>
  <c r="I10" i="2"/>
  <c r="I9" i="2"/>
  <c r="I8" i="2"/>
  <c r="I7" i="2"/>
  <c r="I6" i="2"/>
  <c r="I5" i="2"/>
  <c r="I4" i="2"/>
  <c r="I3" i="2"/>
  <c r="I2" i="2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</calcChain>
</file>

<file path=xl/sharedStrings.xml><?xml version="1.0" encoding="utf-8"?>
<sst xmlns="http://schemas.openxmlformats.org/spreadsheetml/2006/main" count="4844" uniqueCount="1876">
  <si>
    <t>WORD ORDER GAME DATABASE</t>
  </si>
  <si>
    <t>Purpose</t>
  </si>
  <si>
    <t>Normalized source tables for level selection, sentence generation, token shuffling, answer validation, and feedback.</t>
  </si>
  <si>
    <t>Runtime flow</t>
  </si>
  <si>
    <t>Choose Level_ID → choose active Pattern_ID → select compatible words/forms → show Prompt_ES and shuffled tokens → compare normalized answer.</t>
  </si>
  <si>
    <t>Token delimiter</t>
  </si>
  <si>
    <t>Challenges use | between movable tokens. Keep punctuation as a separate token.</t>
  </si>
  <si>
    <t>Answer normalization</t>
  </si>
  <si>
    <t>Recommended: trim spaces, collapse repeated spaces, ignore final punctuation/case when desired, then compare Correct_EN and Accept_Alt_EN.</t>
  </si>
  <si>
    <t>Table</t>
  </si>
  <si>
    <t>Role</t>
  </si>
  <si>
    <t>tblLevels</t>
  </si>
  <si>
    <t>Progression and unlock rules</t>
  </si>
  <si>
    <t>tblWords</t>
  </si>
  <si>
    <t>Bilingual lexicon and grammatical tags</t>
  </si>
  <si>
    <t>tblVerbForms</t>
  </si>
  <si>
    <t>Verb morphology and argument behavior</t>
  </si>
  <si>
    <t>tblPatterns</t>
  </si>
  <si>
    <t>Master sentence/phrase/clause templates</t>
  </si>
  <si>
    <t>tblPatternSlots</t>
  </si>
  <si>
    <t>Ordered slots and compatibility filters</t>
  </si>
  <si>
    <t>tblChallenges</t>
  </si>
  <si>
    <t>Ready-to-play bilingual word-order rounds</t>
  </si>
  <si>
    <t>Conventions</t>
  </si>
  <si>
    <t>SUBJ=subject; OBJ=direct object; IOBJ=indirect object; COMP=complement; DET=determiner; ADJ=adjective; ADV=adverb; PP=prepositional phrase; AUX=auxiliary.</t>
  </si>
  <si>
    <t>Content status</t>
  </si>
  <si>
    <t>Starter production database: all requested grammar families are represented; expand by appending rows with new stable IDs.</t>
  </si>
  <si>
    <t>Level_ID</t>
  </si>
  <si>
    <t>Level_Name_EN</t>
  </si>
  <si>
    <t>Level_Name_ES</t>
  </si>
  <si>
    <t>CEFR</t>
  </si>
  <si>
    <t>Grammar_Focus</t>
  </si>
  <si>
    <t>Unlocked_Structures</t>
  </si>
  <si>
    <t>Target_Tokens</t>
  </si>
  <si>
    <t>Notes_ES</t>
  </si>
  <si>
    <t>Core words</t>
  </si>
  <si>
    <t>Palabras básicas</t>
  </si>
  <si>
    <t>A1</t>
  </si>
  <si>
    <t>Pronouns, nouns, determiners</t>
  </si>
  <si>
    <t>SUBJ; DET+N; simple vocabulary</t>
  </si>
  <si>
    <t>Reconocer categorías y ordenar grupos nominales básicos.</t>
  </si>
  <si>
    <t>Descriptions</t>
  </si>
  <si>
    <t>Descripciones</t>
  </si>
  <si>
    <t>Adjectives and linking verbs</t>
  </si>
  <si>
    <t>DET+ADJ+N; SUBJ+BE+COMP</t>
  </si>
  <si>
    <t>Añadir descripciones y concordancia básica.</t>
  </si>
  <si>
    <t>Actions</t>
  </si>
  <si>
    <t>Acciones</t>
  </si>
  <si>
    <t>Imperatives, intransitive and transitive verbs</t>
  </si>
  <si>
    <t>V; V+OBJ; SUBJ+V; SUBJ+V+OBJ</t>
  </si>
  <si>
    <t>Contrastar verbos con y sin objeto.</t>
  </si>
  <si>
    <t>Details</t>
  </si>
  <si>
    <t>Detalles</t>
  </si>
  <si>
    <t>A2</t>
  </si>
  <si>
    <t>Adverbs and prepositional phrases</t>
  </si>
  <si>
    <t>ADV+ADJ; V+ADV; PREP+NP</t>
  </si>
  <si>
    <t>Agregar manera, lugar y tiempo.</t>
  </si>
  <si>
    <t>Two objects</t>
  </si>
  <si>
    <t>Dos objetos</t>
  </si>
  <si>
    <t>Ditransitive patterns</t>
  </si>
  <si>
    <t>SUBJ+V+IOBJ+OBJ; SUBJ+V+OBJ+TO+IOBJ</t>
  </si>
  <si>
    <t>Distinguir qué se da y a quién.</t>
  </si>
  <si>
    <t>Verb helpers</t>
  </si>
  <si>
    <t>Auxiliares</t>
  </si>
  <si>
    <t>Do, be, have, modals</t>
  </si>
  <si>
    <t>AUX+V; BE+ING; HAVE+PP; MODAL+V</t>
  </si>
  <si>
    <t>Construir preguntas, progresivos, perfectos y modales.</t>
  </si>
  <si>
    <t>Verb chains</t>
  </si>
  <si>
    <t>Cadenas verbales</t>
  </si>
  <si>
    <t>B1</t>
  </si>
  <si>
    <t>Infinitives, gerunds, passive and get</t>
  </si>
  <si>
    <t>V+TO+V; V+ING; BE+PP; GET patterns</t>
  </si>
  <si>
    <t>Practicar cadenas y complementos verbales.</t>
  </si>
  <si>
    <t>Expanded phrases</t>
  </si>
  <si>
    <t>Frases expandidas</t>
  </si>
  <si>
    <t>Long adjective, noun, adverb and PP strings</t>
  </si>
  <si>
    <t>DET+ADV+ADJ+N+PP; phrase recursion</t>
  </si>
  <si>
    <t>Expandir frases sin perder el orden interno.</t>
  </si>
  <si>
    <t>Dependent clauses</t>
  </si>
  <si>
    <t>Cláusulas dependientes</t>
  </si>
  <si>
    <t>Noun, adverbial and relative clauses</t>
  </si>
  <si>
    <t>REL+PRED; SUBCONJ+SUBJ+PRED</t>
  </si>
  <si>
    <t>Identificar la función de una cláusula dependiente.</t>
  </si>
  <si>
    <t>Questions and emphasis</t>
  </si>
  <si>
    <t>Preguntas y énfasis</t>
  </si>
  <si>
    <t>Interrogatives and exclamatives</t>
  </si>
  <si>
    <t>AUX+SUBJ+V; WH+AUX+SUBJ+V</t>
  </si>
  <si>
    <t>Aplicar inversión y palabras interrogativas.</t>
  </si>
  <si>
    <t>Sentence combining</t>
  </si>
  <si>
    <t>Combinación de oraciones</t>
  </si>
  <si>
    <t>B2</t>
  </si>
  <si>
    <t>Compound and complex sentences</t>
  </si>
  <si>
    <t>CLAUSE+FANBOYS+CLAUSE; dependent+independent</t>
  </si>
  <si>
    <t>Combinar ideas con coordinación y subordinación.</t>
  </si>
  <si>
    <t>Master structures</t>
  </si>
  <si>
    <t>Estructuras maestras</t>
  </si>
  <si>
    <t>Compound-complex and recursive verb phrases</t>
  </si>
  <si>
    <t>compound-complex; multi-auxiliary chains</t>
  </si>
  <si>
    <t>Integrar estructuras y puntuación en retos largos.</t>
  </si>
  <si>
    <t>Word_ID</t>
  </si>
  <si>
    <t>English</t>
  </si>
  <si>
    <t>Spanish</t>
  </si>
  <si>
    <t>POS</t>
  </si>
  <si>
    <t>Subtype</t>
  </si>
  <si>
    <t>Countability</t>
  </si>
  <si>
    <t>Animacy</t>
  </si>
  <si>
    <t>Verb_Class</t>
  </si>
  <si>
    <t>Level_Min</t>
  </si>
  <si>
    <t>Tags</t>
  </si>
  <si>
    <t>Active</t>
  </si>
  <si>
    <t>W0001</t>
  </si>
  <si>
    <t>I</t>
  </si>
  <si>
    <t>yo</t>
  </si>
  <si>
    <t>pronoun</t>
  </si>
  <si>
    <t>subject</t>
  </si>
  <si>
    <t>person</t>
  </si>
  <si>
    <t>Y</t>
  </si>
  <si>
    <t>W0002</t>
  </si>
  <si>
    <t>you</t>
  </si>
  <si>
    <t>tú / usted</t>
  </si>
  <si>
    <t>subject-object</t>
  </si>
  <si>
    <t>W0003</t>
  </si>
  <si>
    <t>he</t>
  </si>
  <si>
    <t>él</t>
  </si>
  <si>
    <t>W0004</t>
  </si>
  <si>
    <t>she</t>
  </si>
  <si>
    <t>ella</t>
  </si>
  <si>
    <t>W0005</t>
  </si>
  <si>
    <t>it</t>
  </si>
  <si>
    <t>eso / ello</t>
  </si>
  <si>
    <t>thing</t>
  </si>
  <si>
    <t>W0006</t>
  </si>
  <si>
    <t>we</t>
  </si>
  <si>
    <t>nosotros</t>
  </si>
  <si>
    <t>W0007</t>
  </si>
  <si>
    <t>they</t>
  </si>
  <si>
    <t>ellos</t>
  </si>
  <si>
    <t>W0008</t>
  </si>
  <si>
    <t>me</t>
  </si>
  <si>
    <t>me / a mí</t>
  </si>
  <si>
    <t>object</t>
  </si>
  <si>
    <t>W0009</t>
  </si>
  <si>
    <t>him</t>
  </si>
  <si>
    <t>lo / le / a él</t>
  </si>
  <si>
    <t>W0010</t>
  </si>
  <si>
    <t>her</t>
  </si>
  <si>
    <t>la / le / a ella</t>
  </si>
  <si>
    <t>W0011</t>
  </si>
  <si>
    <t>us</t>
  </si>
  <si>
    <t>nos / a nosotros</t>
  </si>
  <si>
    <t>W0012</t>
  </si>
  <si>
    <t>them</t>
  </si>
  <si>
    <t>los / les / a ellos</t>
  </si>
  <si>
    <t>W0013</t>
  </si>
  <si>
    <t>someone</t>
  </si>
  <si>
    <t>alguien</t>
  </si>
  <si>
    <t>indefinite</t>
  </si>
  <si>
    <t>W0014</t>
  </si>
  <si>
    <t>something</t>
  </si>
  <si>
    <t>algo</t>
  </si>
  <si>
    <t>W0015</t>
  </si>
  <si>
    <t>a</t>
  </si>
  <si>
    <t>un / una</t>
  </si>
  <si>
    <t>determiner</t>
  </si>
  <si>
    <t>article-indefinite</t>
  </si>
  <si>
    <t>W0016</t>
  </si>
  <si>
    <t>an</t>
  </si>
  <si>
    <t>W0017</t>
  </si>
  <si>
    <t>the</t>
  </si>
  <si>
    <t>el / la / los / las</t>
  </si>
  <si>
    <t>article-definite</t>
  </si>
  <si>
    <t>W0018</t>
  </si>
  <si>
    <t>this</t>
  </si>
  <si>
    <t>este / esta</t>
  </si>
  <si>
    <t>demonstrative</t>
  </si>
  <si>
    <t>W0019</t>
  </si>
  <si>
    <t>that</t>
  </si>
  <si>
    <t>ese / esa</t>
  </si>
  <si>
    <t>W0020</t>
  </si>
  <si>
    <t>these</t>
  </si>
  <si>
    <t>estos / estas</t>
  </si>
  <si>
    <t>W0021</t>
  </si>
  <si>
    <t>those</t>
  </si>
  <si>
    <t>esos / esas</t>
  </si>
  <si>
    <t>W0022</t>
  </si>
  <si>
    <t>my</t>
  </si>
  <si>
    <t>mi / mis</t>
  </si>
  <si>
    <t>possessive</t>
  </si>
  <si>
    <t>W0023</t>
  </si>
  <si>
    <t>your</t>
  </si>
  <si>
    <t>tu / su</t>
  </si>
  <si>
    <t>W0024</t>
  </si>
  <si>
    <t>his</t>
  </si>
  <si>
    <t>su / sus (de él)</t>
  </si>
  <si>
    <t>W0025</t>
  </si>
  <si>
    <t>su / sus (de ella)</t>
  </si>
  <si>
    <t>W0026</t>
  </si>
  <si>
    <t>our</t>
  </si>
  <si>
    <t>nuestro/a</t>
  </si>
  <si>
    <t>W0027</t>
  </si>
  <si>
    <t>their</t>
  </si>
  <si>
    <t>su / sus (de ellos)</t>
  </si>
  <si>
    <t>W0028</t>
  </si>
  <si>
    <t>some</t>
  </si>
  <si>
    <t>algún / algunos</t>
  </si>
  <si>
    <t>quantifier</t>
  </si>
  <si>
    <t>W0029</t>
  </si>
  <si>
    <t>many</t>
  </si>
  <si>
    <t>muchos</t>
  </si>
  <si>
    <t>W0030</t>
  </si>
  <si>
    <t>each</t>
  </si>
  <si>
    <t>cada</t>
  </si>
  <si>
    <t>distributive</t>
  </si>
  <si>
    <t>W0031</t>
  </si>
  <si>
    <t>every</t>
  </si>
  <si>
    <t>cada / todo</t>
  </si>
  <si>
    <t>W0032</t>
  </si>
  <si>
    <t>no</t>
  </si>
  <si>
    <t>ningún / ninguna</t>
  </si>
  <si>
    <t>negative</t>
  </si>
  <si>
    <t>W0033</t>
  </si>
  <si>
    <t>student</t>
  </si>
  <si>
    <t>estudiante</t>
  </si>
  <si>
    <t>noun</t>
  </si>
  <si>
    <t>common</t>
  </si>
  <si>
    <t>count</t>
  </si>
  <si>
    <t>singular</t>
  </si>
  <si>
    <t>W0034</t>
  </si>
  <si>
    <t>teacher</t>
  </si>
  <si>
    <t>profesor/a</t>
  </si>
  <si>
    <t>W0035</t>
  </si>
  <si>
    <t>child</t>
  </si>
  <si>
    <t>niño/a</t>
  </si>
  <si>
    <t>W0036</t>
  </si>
  <si>
    <t>friend</t>
  </si>
  <si>
    <t>amigo/a</t>
  </si>
  <si>
    <t>W0037</t>
  </si>
  <si>
    <t>woman</t>
  </si>
  <si>
    <t>mujer</t>
  </si>
  <si>
    <t>W0038</t>
  </si>
  <si>
    <t>man</t>
  </si>
  <si>
    <t>hombre</t>
  </si>
  <si>
    <t>W0039</t>
  </si>
  <si>
    <t>family</t>
  </si>
  <si>
    <t>familia</t>
  </si>
  <si>
    <t>group</t>
  </si>
  <si>
    <t>W0040</t>
  </si>
  <si>
    <t>team</t>
  </si>
  <si>
    <t>equipo</t>
  </si>
  <si>
    <t>W0041</t>
  </si>
  <si>
    <t>dog</t>
  </si>
  <si>
    <t>perro</t>
  </si>
  <si>
    <t>animal</t>
  </si>
  <si>
    <t>W0042</t>
  </si>
  <si>
    <t>cat</t>
  </si>
  <si>
    <t>gato</t>
  </si>
  <si>
    <t>W0043</t>
  </si>
  <si>
    <t>bird</t>
  </si>
  <si>
    <t>pájaro</t>
  </si>
  <si>
    <t>W0044</t>
  </si>
  <si>
    <t>book</t>
  </si>
  <si>
    <t>libro</t>
  </si>
  <si>
    <t>W0045</t>
  </si>
  <si>
    <t>letter</t>
  </si>
  <si>
    <t>carta</t>
  </si>
  <si>
    <t>W0046</t>
  </si>
  <si>
    <t>gift</t>
  </si>
  <si>
    <t>regalo</t>
  </si>
  <si>
    <t>W0047</t>
  </si>
  <si>
    <t>lesson</t>
  </si>
  <si>
    <t>lección</t>
  </si>
  <si>
    <t>W0048</t>
  </si>
  <si>
    <t>question</t>
  </si>
  <si>
    <t>pregunta</t>
  </si>
  <si>
    <t>W0049</t>
  </si>
  <si>
    <t>answer</t>
  </si>
  <si>
    <t>respuesta</t>
  </si>
  <si>
    <t>W0050</t>
  </si>
  <si>
    <t>idea</t>
  </si>
  <si>
    <t>abstract</t>
  </si>
  <si>
    <t>W0051</t>
  </si>
  <si>
    <t>story</t>
  </si>
  <si>
    <t>historia</t>
  </si>
  <si>
    <t>W0052</t>
  </si>
  <si>
    <t>problem</t>
  </si>
  <si>
    <t>problema</t>
  </si>
  <si>
    <t>W0053</t>
  </si>
  <si>
    <t>plan</t>
  </si>
  <si>
    <t>W0054</t>
  </si>
  <si>
    <t>game</t>
  </si>
  <si>
    <t>juego</t>
  </si>
  <si>
    <t>W0055</t>
  </si>
  <si>
    <t>word</t>
  </si>
  <si>
    <t>palabra</t>
  </si>
  <si>
    <t>W0056</t>
  </si>
  <si>
    <t>sentence</t>
  </si>
  <si>
    <t>oración</t>
  </si>
  <si>
    <t>W0057</t>
  </si>
  <si>
    <t>school</t>
  </si>
  <si>
    <t>escuela</t>
  </si>
  <si>
    <t>place</t>
  </si>
  <si>
    <t>W0058</t>
  </si>
  <si>
    <t>home</t>
  </si>
  <si>
    <t>casa</t>
  </si>
  <si>
    <t>W0059</t>
  </si>
  <si>
    <t>park</t>
  </si>
  <si>
    <t>parque</t>
  </si>
  <si>
    <t>W0060</t>
  </si>
  <si>
    <t>office</t>
  </si>
  <si>
    <t>oficina</t>
  </si>
  <si>
    <t>W0061</t>
  </si>
  <si>
    <t>city</t>
  </si>
  <si>
    <t>ciudad</t>
  </si>
  <si>
    <t>W0062</t>
  </si>
  <si>
    <t>room</t>
  </si>
  <si>
    <t>habitación</t>
  </si>
  <si>
    <t>W0063</t>
  </si>
  <si>
    <t>table</t>
  </si>
  <si>
    <t>mesa</t>
  </si>
  <si>
    <t>W0064</t>
  </si>
  <si>
    <t>door</t>
  </si>
  <si>
    <t>puerta</t>
  </si>
  <si>
    <t>W0065</t>
  </si>
  <si>
    <t>window</t>
  </si>
  <si>
    <t>ventana</t>
  </si>
  <si>
    <t>W0066</t>
  </si>
  <si>
    <t>morning</t>
  </si>
  <si>
    <t>mañana</t>
  </si>
  <si>
    <t>time</t>
  </si>
  <si>
    <t>W0067</t>
  </si>
  <si>
    <t>night</t>
  </si>
  <si>
    <t>noche</t>
  </si>
  <si>
    <t>W0068</t>
  </si>
  <si>
    <t>tiempo</t>
  </si>
  <si>
    <t>mass</t>
  </si>
  <si>
    <t>W0069</t>
  </si>
  <si>
    <t>water</t>
  </si>
  <si>
    <t>agua</t>
  </si>
  <si>
    <t>W0070</t>
  </si>
  <si>
    <t>music</t>
  </si>
  <si>
    <t>música</t>
  </si>
  <si>
    <t>W0071</t>
  </si>
  <si>
    <t>work</t>
  </si>
  <si>
    <t>trabajo</t>
  </si>
  <si>
    <t>W0072</t>
  </si>
  <si>
    <t>information</t>
  </si>
  <si>
    <t>información</t>
  </si>
  <si>
    <t>W0073</t>
  </si>
  <si>
    <t>coffee</t>
  </si>
  <si>
    <t>café</t>
  </si>
  <si>
    <t>W0074</t>
  </si>
  <si>
    <t>food</t>
  </si>
  <si>
    <t>comida</t>
  </si>
  <si>
    <t>W0075</t>
  </si>
  <si>
    <t>computer</t>
  </si>
  <si>
    <t>computadora</t>
  </si>
  <si>
    <t>W0076</t>
  </si>
  <si>
    <t>bus</t>
  </si>
  <si>
    <t>autobús</t>
  </si>
  <si>
    <t>W0077</t>
  </si>
  <si>
    <t>garden</t>
  </si>
  <si>
    <t>jardín</t>
  </si>
  <si>
    <t>W0078</t>
  </si>
  <si>
    <t>good</t>
  </si>
  <si>
    <t>bueno</t>
  </si>
  <si>
    <t>adjective</t>
  </si>
  <si>
    <t>descriptive</t>
  </si>
  <si>
    <t>opinion/state</t>
  </si>
  <si>
    <t>W0079</t>
  </si>
  <si>
    <t>bad</t>
  </si>
  <si>
    <t>malo</t>
  </si>
  <si>
    <t>W0080</t>
  </si>
  <si>
    <t>happy</t>
  </si>
  <si>
    <t>feliz</t>
  </si>
  <si>
    <t>W0081</t>
  </si>
  <si>
    <t>sad</t>
  </si>
  <si>
    <t>triste</t>
  </si>
  <si>
    <t>W0082</t>
  </si>
  <si>
    <t>tired</t>
  </si>
  <si>
    <t>cansado</t>
  </si>
  <si>
    <t>W0083</t>
  </si>
  <si>
    <t>ready</t>
  </si>
  <si>
    <t>listo</t>
  </si>
  <si>
    <t>W0084</t>
  </si>
  <si>
    <t>busy</t>
  </si>
  <si>
    <t>ocupado</t>
  </si>
  <si>
    <t>W0085</t>
  </si>
  <si>
    <t>kind</t>
  </si>
  <si>
    <t>amable</t>
  </si>
  <si>
    <t>W0086</t>
  </si>
  <si>
    <t>smart</t>
  </si>
  <si>
    <t>inteligente</t>
  </si>
  <si>
    <t>W0087</t>
  </si>
  <si>
    <t>young</t>
  </si>
  <si>
    <t>joven</t>
  </si>
  <si>
    <t>W0088</t>
  </si>
  <si>
    <t>old</t>
  </si>
  <si>
    <t>viejo</t>
  </si>
  <si>
    <t>description</t>
  </si>
  <si>
    <t>W0089</t>
  </si>
  <si>
    <t>new</t>
  </si>
  <si>
    <t>nuevo</t>
  </si>
  <si>
    <t>W0090</t>
  </si>
  <si>
    <t>big</t>
  </si>
  <si>
    <t>grande</t>
  </si>
  <si>
    <t>W0091</t>
  </si>
  <si>
    <t>small</t>
  </si>
  <si>
    <t>pequeño</t>
  </si>
  <si>
    <t>W0092</t>
  </si>
  <si>
    <t>beautiful</t>
  </si>
  <si>
    <t>hermoso</t>
  </si>
  <si>
    <t>W0093</t>
  </si>
  <si>
    <t>interesting</t>
  </si>
  <si>
    <t>interesante</t>
  </si>
  <si>
    <t>W0094</t>
  </si>
  <si>
    <t>difficult</t>
  </si>
  <si>
    <t>difícil</t>
  </si>
  <si>
    <t>W0095</t>
  </si>
  <si>
    <t>easy</t>
  </si>
  <si>
    <t>fácil</t>
  </si>
  <si>
    <t>W0096</t>
  </si>
  <si>
    <t>important</t>
  </si>
  <si>
    <t>importante</t>
  </si>
  <si>
    <t>W0097</t>
  </si>
  <si>
    <t>quiet</t>
  </si>
  <si>
    <t>silencioso</t>
  </si>
  <si>
    <t>W0098</t>
  </si>
  <si>
    <t>noisy</t>
  </si>
  <si>
    <t>ruidoso</t>
  </si>
  <si>
    <t>W0099</t>
  </si>
  <si>
    <t>red</t>
  </si>
  <si>
    <t>rojo</t>
  </si>
  <si>
    <t>W0100</t>
  </si>
  <si>
    <t>blue</t>
  </si>
  <si>
    <t>azul</t>
  </si>
  <si>
    <t>W0101</t>
  </si>
  <si>
    <t>wooden</t>
  </si>
  <si>
    <t>de madera</t>
  </si>
  <si>
    <t>W0102</t>
  </si>
  <si>
    <t>español</t>
  </si>
  <si>
    <t>W0103</t>
  </si>
  <si>
    <t>broken</t>
  </si>
  <si>
    <t>roto</t>
  </si>
  <si>
    <t>participle</t>
  </si>
  <si>
    <t>W0104</t>
  </si>
  <si>
    <t>excited</t>
  </si>
  <si>
    <t>emocionado</t>
  </si>
  <si>
    <t>W0105</t>
  </si>
  <si>
    <t>worried</t>
  </si>
  <si>
    <t>preocupado</t>
  </si>
  <si>
    <t>W0106</t>
  </si>
  <si>
    <t>surprised</t>
  </si>
  <si>
    <t>sorprendido</t>
  </si>
  <si>
    <t>W0107</t>
  </si>
  <si>
    <t>full</t>
  </si>
  <si>
    <t>lleno</t>
  </si>
  <si>
    <t>W0108</t>
  </si>
  <si>
    <t>very</t>
  </si>
  <si>
    <t>muy</t>
  </si>
  <si>
    <t>adverb</t>
  </si>
  <si>
    <t>degree</t>
  </si>
  <si>
    <t>modifier</t>
  </si>
  <si>
    <t>W0109</t>
  </si>
  <si>
    <t>really</t>
  </si>
  <si>
    <t>realmente</t>
  </si>
  <si>
    <t>W0110</t>
  </si>
  <si>
    <t>quite</t>
  </si>
  <si>
    <t>bastante</t>
  </si>
  <si>
    <t>W0111</t>
  </si>
  <si>
    <t>extremely</t>
  </si>
  <si>
    <t>extremadamente</t>
  </si>
  <si>
    <t>W0112</t>
  </si>
  <si>
    <t>too</t>
  </si>
  <si>
    <t>demasiado</t>
  </si>
  <si>
    <t>W0113</t>
  </si>
  <si>
    <t>quickly</t>
  </si>
  <si>
    <t>rápidamente</t>
  </si>
  <si>
    <t>manner</t>
  </si>
  <si>
    <t>W0114</t>
  </si>
  <si>
    <t>slowly</t>
  </si>
  <si>
    <t>lentamente</t>
  </si>
  <si>
    <t>W0115</t>
  </si>
  <si>
    <t>carefully</t>
  </si>
  <si>
    <t>cuidadosamente</t>
  </si>
  <si>
    <t>W0116</t>
  </si>
  <si>
    <t>well</t>
  </si>
  <si>
    <t>bien</t>
  </si>
  <si>
    <t>W0117</t>
  </si>
  <si>
    <t>quietly</t>
  </si>
  <si>
    <t>silenciosamente</t>
  </si>
  <si>
    <t>W0118</t>
  </si>
  <si>
    <t>always</t>
  </si>
  <si>
    <t>siempre</t>
  </si>
  <si>
    <t>frequency</t>
  </si>
  <si>
    <t>W0119</t>
  </si>
  <si>
    <t>often</t>
  </si>
  <si>
    <t>a menudo</t>
  </si>
  <si>
    <t>W0120</t>
  </si>
  <si>
    <t>sometimes</t>
  </si>
  <si>
    <t>a veces</t>
  </si>
  <si>
    <t>W0121</t>
  </si>
  <si>
    <t>never</t>
  </si>
  <si>
    <t>nunca</t>
  </si>
  <si>
    <t>W0122</t>
  </si>
  <si>
    <t>already</t>
  </si>
  <si>
    <t>ya</t>
  </si>
  <si>
    <t>W0123</t>
  </si>
  <si>
    <t>still</t>
  </si>
  <si>
    <t>todavía</t>
  </si>
  <si>
    <t>W0124</t>
  </si>
  <si>
    <t>today</t>
  </si>
  <si>
    <t>hoy</t>
  </si>
  <si>
    <t>W0125</t>
  </si>
  <si>
    <t>yesterday</t>
  </si>
  <si>
    <t>ayer</t>
  </si>
  <si>
    <t>W0126</t>
  </si>
  <si>
    <t>tomorrow</t>
  </si>
  <si>
    <t>W0127</t>
  </si>
  <si>
    <t>here</t>
  </si>
  <si>
    <t>aquí</t>
  </si>
  <si>
    <t>W0128</t>
  </si>
  <si>
    <t>there</t>
  </si>
  <si>
    <t>allí</t>
  </si>
  <si>
    <t>W0129</t>
  </si>
  <si>
    <t>outside</t>
  </si>
  <si>
    <t>afuera</t>
  </si>
  <si>
    <t>W0130</t>
  </si>
  <si>
    <t>together</t>
  </si>
  <si>
    <t>juntos</t>
  </si>
  <si>
    <t>W0131</t>
  </si>
  <si>
    <t>probably</t>
  </si>
  <si>
    <t>probablemente</t>
  </si>
  <si>
    <t>stance</t>
  </si>
  <si>
    <t>W0132</t>
  </si>
  <si>
    <t>fortunately</t>
  </si>
  <si>
    <t>afortunadamente</t>
  </si>
  <si>
    <t>W0133</t>
  </si>
  <si>
    <t>in</t>
  </si>
  <si>
    <t>en</t>
  </si>
  <si>
    <t>preposition</t>
  </si>
  <si>
    <t>simple</t>
  </si>
  <si>
    <t>pp-head</t>
  </si>
  <si>
    <t>W0134</t>
  </si>
  <si>
    <t>on</t>
  </si>
  <si>
    <t>en / sobre</t>
  </si>
  <si>
    <t>W0135</t>
  </si>
  <si>
    <t>at</t>
  </si>
  <si>
    <t>en / a</t>
  </si>
  <si>
    <t>W0136</t>
  </si>
  <si>
    <t>under</t>
  </si>
  <si>
    <t>debajo de</t>
  </si>
  <si>
    <t>W0137</t>
  </si>
  <si>
    <t>over</t>
  </si>
  <si>
    <t>encima de</t>
  </si>
  <si>
    <t>W0138</t>
  </si>
  <si>
    <t>behind</t>
  </si>
  <si>
    <t>detrás de</t>
  </si>
  <si>
    <t>W0139</t>
  </si>
  <si>
    <t>near</t>
  </si>
  <si>
    <t>cerca de</t>
  </si>
  <si>
    <t>W0140</t>
  </si>
  <si>
    <t>with</t>
  </si>
  <si>
    <t>con</t>
  </si>
  <si>
    <t>W0141</t>
  </si>
  <si>
    <t>without</t>
  </si>
  <si>
    <t>sin</t>
  </si>
  <si>
    <t>W0142</t>
  </si>
  <si>
    <t>for</t>
  </si>
  <si>
    <t>para / por</t>
  </si>
  <si>
    <t>W0143</t>
  </si>
  <si>
    <t>from</t>
  </si>
  <si>
    <t>de / desde</t>
  </si>
  <si>
    <t>W0144</t>
  </si>
  <si>
    <t>to</t>
  </si>
  <si>
    <t>a / hacia</t>
  </si>
  <si>
    <t>W0145</t>
  </si>
  <si>
    <t>into</t>
  </si>
  <si>
    <t>dentro de</t>
  </si>
  <si>
    <t>W0146</t>
  </si>
  <si>
    <t>through</t>
  </si>
  <si>
    <t>a través de</t>
  </si>
  <si>
    <t>W0147</t>
  </si>
  <si>
    <t>before</t>
  </si>
  <si>
    <t>antes de</t>
  </si>
  <si>
    <t>W0148</t>
  </si>
  <si>
    <t>after</t>
  </si>
  <si>
    <t>después de</t>
  </si>
  <si>
    <t>W0149</t>
  </si>
  <si>
    <t>about</t>
  </si>
  <si>
    <t>sobre / acerca de</t>
  </si>
  <si>
    <t>W0150</t>
  </si>
  <si>
    <t>of</t>
  </si>
  <si>
    <t>de</t>
  </si>
  <si>
    <t>W0151</t>
  </si>
  <si>
    <t>and</t>
  </si>
  <si>
    <t>y</t>
  </si>
  <si>
    <t>conjunction</t>
  </si>
  <si>
    <t>coordinating</t>
  </si>
  <si>
    <t>clause-link</t>
  </si>
  <si>
    <t>W0152</t>
  </si>
  <si>
    <t>but</t>
  </si>
  <si>
    <t>pero</t>
  </si>
  <si>
    <t>W0153</t>
  </si>
  <si>
    <t>or</t>
  </si>
  <si>
    <t>o</t>
  </si>
  <si>
    <t>W0154</t>
  </si>
  <si>
    <t>so</t>
  </si>
  <si>
    <t>así que</t>
  </si>
  <si>
    <t>W0155</t>
  </si>
  <si>
    <t>yet</t>
  </si>
  <si>
    <t>sin embargo</t>
  </si>
  <si>
    <t>W0156</t>
  </si>
  <si>
    <t>pues / porque</t>
  </si>
  <si>
    <t>W0157</t>
  </si>
  <si>
    <t>nor</t>
  </si>
  <si>
    <t>ni</t>
  </si>
  <si>
    <t>W0158</t>
  </si>
  <si>
    <t>because</t>
  </si>
  <si>
    <t>porque</t>
  </si>
  <si>
    <t>subordinating</t>
  </si>
  <si>
    <t>W0159</t>
  </si>
  <si>
    <t>although</t>
  </si>
  <si>
    <t>aunque</t>
  </si>
  <si>
    <t>W0160</t>
  </si>
  <si>
    <t>if</t>
  </si>
  <si>
    <t>si</t>
  </si>
  <si>
    <t>W0161</t>
  </si>
  <si>
    <t>when</t>
  </si>
  <si>
    <t>cuando</t>
  </si>
  <si>
    <t>W0162</t>
  </si>
  <si>
    <t>while</t>
  </si>
  <si>
    <t>mientras</t>
  </si>
  <si>
    <t>W0163</t>
  </si>
  <si>
    <t>antes de que</t>
  </si>
  <si>
    <t>W0164</t>
  </si>
  <si>
    <t>después de que</t>
  </si>
  <si>
    <t>W0165</t>
  </si>
  <si>
    <t>unless</t>
  </si>
  <si>
    <t>a menos que</t>
  </si>
  <si>
    <t>W0166</t>
  </si>
  <si>
    <t>since</t>
  </si>
  <si>
    <t>ya que / desde que</t>
  </si>
  <si>
    <t>W0167</t>
  </si>
  <si>
    <t>who</t>
  </si>
  <si>
    <t>quien</t>
  </si>
  <si>
    <t>relative-pronoun</t>
  </si>
  <si>
    <t>clause-head</t>
  </si>
  <si>
    <t>W0168</t>
  </si>
  <si>
    <t>whom</t>
  </si>
  <si>
    <t>a quien</t>
  </si>
  <si>
    <t>W0169</t>
  </si>
  <si>
    <t>which</t>
  </si>
  <si>
    <t>que / el cual</t>
  </si>
  <si>
    <t>W0170</t>
  </si>
  <si>
    <t>que</t>
  </si>
  <si>
    <t>W0171</t>
  </si>
  <si>
    <t>whose</t>
  </si>
  <si>
    <t>cuyo/a</t>
  </si>
  <si>
    <t>W0172</t>
  </si>
  <si>
    <t>where</t>
  </si>
  <si>
    <t>donde</t>
  </si>
  <si>
    <t>relative-adverb</t>
  </si>
  <si>
    <t>W0173</t>
  </si>
  <si>
    <t>W0174</t>
  </si>
  <si>
    <t>why</t>
  </si>
  <si>
    <t>por qué</t>
  </si>
  <si>
    <t>reason</t>
  </si>
  <si>
    <t>W0175</t>
  </si>
  <si>
    <t>what</t>
  </si>
  <si>
    <t>qué / lo que</t>
  </si>
  <si>
    <t>question-word</t>
  </si>
  <si>
    <t>W0176</t>
  </si>
  <si>
    <t>dónde</t>
  </si>
  <si>
    <t>W0177</t>
  </si>
  <si>
    <t>cuándo</t>
  </si>
  <si>
    <t>W0178</t>
  </si>
  <si>
    <t>W0179</t>
  </si>
  <si>
    <t>how</t>
  </si>
  <si>
    <t>cómo</t>
  </si>
  <si>
    <t>W0180</t>
  </si>
  <si>
    <t>do</t>
  </si>
  <si>
    <t>hacer / auxiliar</t>
  </si>
  <si>
    <t>auxiliary</t>
  </si>
  <si>
    <t>bully-verb</t>
  </si>
  <si>
    <t>W0181</t>
  </si>
  <si>
    <t>does</t>
  </si>
  <si>
    <t>auxiliar 3.ª singular</t>
  </si>
  <si>
    <t>W0182</t>
  </si>
  <si>
    <t>did</t>
  </si>
  <si>
    <t>auxiliar pasado</t>
  </si>
  <si>
    <t>W0183</t>
  </si>
  <si>
    <t>am</t>
  </si>
  <si>
    <t>ser / estar</t>
  </si>
  <si>
    <t>be</t>
  </si>
  <si>
    <t>W0184</t>
  </si>
  <si>
    <t>is</t>
  </si>
  <si>
    <t>W0185</t>
  </si>
  <si>
    <t>are</t>
  </si>
  <si>
    <t>W0186</t>
  </si>
  <si>
    <t>was</t>
  </si>
  <si>
    <t>era / estaba</t>
  </si>
  <si>
    <t>W0187</t>
  </si>
  <si>
    <t>were</t>
  </si>
  <si>
    <t>eran / estaban</t>
  </si>
  <si>
    <t>W0188</t>
  </si>
  <si>
    <t>have</t>
  </si>
  <si>
    <t>haber / tener</t>
  </si>
  <si>
    <t>W0189</t>
  </si>
  <si>
    <t>has</t>
  </si>
  <si>
    <t>ha / tiene</t>
  </si>
  <si>
    <t>W0190</t>
  </si>
  <si>
    <t>had</t>
  </si>
  <si>
    <t>había / tuvo</t>
  </si>
  <si>
    <t>W0191</t>
  </si>
  <si>
    <t>can</t>
  </si>
  <si>
    <t>poder</t>
  </si>
  <si>
    <t>modal</t>
  </si>
  <si>
    <t>ability</t>
  </si>
  <si>
    <t>W0192</t>
  </si>
  <si>
    <t>could</t>
  </si>
  <si>
    <t>podría / podía</t>
  </si>
  <si>
    <t>W0193</t>
  </si>
  <si>
    <t>may</t>
  </si>
  <si>
    <t>puede que / poder</t>
  </si>
  <si>
    <t>possibility</t>
  </si>
  <si>
    <t>W0194</t>
  </si>
  <si>
    <t>might</t>
  </si>
  <si>
    <t>podría</t>
  </si>
  <si>
    <t>W0195</t>
  </si>
  <si>
    <t>must</t>
  </si>
  <si>
    <t>deber</t>
  </si>
  <si>
    <t>obligation</t>
  </si>
  <si>
    <t>W0196</t>
  </si>
  <si>
    <t>should</t>
  </si>
  <si>
    <t>debería</t>
  </si>
  <si>
    <t>advice</t>
  </si>
  <si>
    <t>W0197</t>
  </si>
  <si>
    <t>will</t>
  </si>
  <si>
    <t>futuro / voluntad</t>
  </si>
  <si>
    <t>future</t>
  </si>
  <si>
    <t>W0198</t>
  </si>
  <si>
    <t>would</t>
  </si>
  <si>
    <t>condicional / solía</t>
  </si>
  <si>
    <t>conditional</t>
  </si>
  <si>
    <t>W0199</t>
  </si>
  <si>
    <t>verb</t>
  </si>
  <si>
    <t>base</t>
  </si>
  <si>
    <t>linking</t>
  </si>
  <si>
    <t>lexical-verb</t>
  </si>
  <si>
    <t>W0200</t>
  </si>
  <si>
    <t>seem</t>
  </si>
  <si>
    <t>parecer</t>
  </si>
  <si>
    <t>W0201</t>
  </si>
  <si>
    <t>become</t>
  </si>
  <si>
    <t>volverse</t>
  </si>
  <si>
    <t>W0202</t>
  </si>
  <si>
    <t>feel</t>
  </si>
  <si>
    <t>sentirse</t>
  </si>
  <si>
    <t>W0203</t>
  </si>
  <si>
    <t>go</t>
  </si>
  <si>
    <t>ir</t>
  </si>
  <si>
    <t>intransitive</t>
  </si>
  <si>
    <t>W0204</t>
  </si>
  <si>
    <t>arrive</t>
  </si>
  <si>
    <t>llegar</t>
  </si>
  <si>
    <t>W0205</t>
  </si>
  <si>
    <t>sleep</t>
  </si>
  <si>
    <t>dormir</t>
  </si>
  <si>
    <t>W0206</t>
  </si>
  <si>
    <t>laugh</t>
  </si>
  <si>
    <t>reír</t>
  </si>
  <si>
    <t>W0207</t>
  </si>
  <si>
    <t>trabajar</t>
  </si>
  <si>
    <t>W0208</t>
  </si>
  <si>
    <t>run</t>
  </si>
  <si>
    <t>correr</t>
  </si>
  <si>
    <t>W0209</t>
  </si>
  <si>
    <t>read</t>
  </si>
  <si>
    <t>leer</t>
  </si>
  <si>
    <t>transitive</t>
  </si>
  <si>
    <t>W0210</t>
  </si>
  <si>
    <t>write</t>
  </si>
  <si>
    <t>escribir</t>
  </si>
  <si>
    <t>W0211</t>
  </si>
  <si>
    <t>open</t>
  </si>
  <si>
    <t>abrir</t>
  </si>
  <si>
    <t>W0212</t>
  </si>
  <si>
    <t>close</t>
  </si>
  <si>
    <t>cerrar</t>
  </si>
  <si>
    <t>W0213</t>
  </si>
  <si>
    <t>build</t>
  </si>
  <si>
    <t>construir</t>
  </si>
  <si>
    <t>W0214</t>
  </si>
  <si>
    <t>watch</t>
  </si>
  <si>
    <t>mirar</t>
  </si>
  <si>
    <t>W0215</t>
  </si>
  <si>
    <t>need</t>
  </si>
  <si>
    <t>necesitar</t>
  </si>
  <si>
    <t>W0216</t>
  </si>
  <si>
    <t>want</t>
  </si>
  <si>
    <t>querer</t>
  </si>
  <si>
    <t>W0217</t>
  </si>
  <si>
    <t>like</t>
  </si>
  <si>
    <t>gustar</t>
  </si>
  <si>
    <t>W0218</t>
  </si>
  <si>
    <t>love</t>
  </si>
  <si>
    <t>encantar / amar</t>
  </si>
  <si>
    <t>W0219</t>
  </si>
  <si>
    <t>study</t>
  </si>
  <si>
    <t>estudiar</t>
  </si>
  <si>
    <t>W0220</t>
  </si>
  <si>
    <t>learn</t>
  </si>
  <si>
    <t>aprender</t>
  </si>
  <si>
    <t>W0221</t>
  </si>
  <si>
    <t>help</t>
  </si>
  <si>
    <t>ayudar</t>
  </si>
  <si>
    <t>W0222</t>
  </si>
  <si>
    <t>give</t>
  </si>
  <si>
    <t>dar</t>
  </si>
  <si>
    <t>ditransitive</t>
  </si>
  <si>
    <t>W0223</t>
  </si>
  <si>
    <t>send</t>
  </si>
  <si>
    <t>enviar</t>
  </si>
  <si>
    <t>W0224</t>
  </si>
  <si>
    <t>show</t>
  </si>
  <si>
    <t>mostrar</t>
  </si>
  <si>
    <t>W0225</t>
  </si>
  <si>
    <t>tell</t>
  </si>
  <si>
    <t>decir / contar</t>
  </si>
  <si>
    <t>W0226</t>
  </si>
  <si>
    <t>teach</t>
  </si>
  <si>
    <t>enseñar</t>
  </si>
  <si>
    <t>W0227</t>
  </si>
  <si>
    <t>offer</t>
  </si>
  <si>
    <t>ofrecer</t>
  </si>
  <si>
    <t>W0228</t>
  </si>
  <si>
    <t>get</t>
  </si>
  <si>
    <t>obtener / ponerse</t>
  </si>
  <si>
    <t>complex</t>
  </si>
  <si>
    <t>W0229</t>
  </si>
  <si>
    <t>start</t>
  </si>
  <si>
    <t>empezar</t>
  </si>
  <si>
    <t>catenative</t>
  </si>
  <si>
    <t>W0230</t>
  </si>
  <si>
    <t>finish</t>
  </si>
  <si>
    <t>terminar</t>
  </si>
  <si>
    <t>W0231</t>
  </si>
  <si>
    <t>planear</t>
  </si>
  <si>
    <t>W0232</t>
  </si>
  <si>
    <t>decide</t>
  </si>
  <si>
    <t>decidir</t>
  </si>
  <si>
    <t>W0233</t>
  </si>
  <si>
    <t>enjoy</t>
  </si>
  <si>
    <t>disfrutar</t>
  </si>
  <si>
    <t>W0234</t>
  </si>
  <si>
    <t>ask</t>
  </si>
  <si>
    <t>pedir / preguntar</t>
  </si>
  <si>
    <t>W0235</t>
  </si>
  <si>
    <t>expect</t>
  </si>
  <si>
    <t>esperar</t>
  </si>
  <si>
    <t>W0236</t>
  </si>
  <si>
    <t>make</t>
  </si>
  <si>
    <t>hacer</t>
  </si>
  <si>
    <t>W0237</t>
  </si>
  <si>
    <t>let</t>
  </si>
  <si>
    <t>dejar / permitir</t>
  </si>
  <si>
    <t>W0238</t>
  </si>
  <si>
    <t>try</t>
  </si>
  <si>
    <t>intentar</t>
  </si>
  <si>
    <t>W0239</t>
  </si>
  <si>
    <t>marcador de infinitivo</t>
  </si>
  <si>
    <t>particle</t>
  </si>
  <si>
    <t>infinitive</t>
  </si>
  <si>
    <t>token</t>
  </si>
  <si>
    <t>W0240</t>
  </si>
  <si>
    <t>not</t>
  </si>
  <si>
    <t>W0241</t>
  </si>
  <si>
    <t>,</t>
  </si>
  <si>
    <t>coma</t>
  </si>
  <si>
    <t>punctuation</t>
  </si>
  <si>
    <t>comma</t>
  </si>
  <si>
    <t>W0242</t>
  </si>
  <si>
    <t>?</t>
  </si>
  <si>
    <t>signo de interrogación</t>
  </si>
  <si>
    <t>W0243</t>
  </si>
  <si>
    <t>!</t>
  </si>
  <si>
    <t>signo de exclamación</t>
  </si>
  <si>
    <t>exclamation</t>
  </si>
  <si>
    <t>W0244</t>
  </si>
  <si>
    <t>.</t>
  </si>
  <si>
    <t>punto</t>
  </si>
  <si>
    <t>period</t>
  </si>
  <si>
    <t>Base</t>
  </si>
  <si>
    <t>Third_Person</t>
  </si>
  <si>
    <t>Past</t>
  </si>
  <si>
    <t>Past_Participle</t>
  </si>
  <si>
    <t>ING</t>
  </si>
  <si>
    <t>Allows_IOBJ</t>
  </si>
  <si>
    <t>Complement_Type</t>
  </si>
  <si>
    <t>Irregular</t>
  </si>
  <si>
    <t>was/were</t>
  </si>
  <si>
    <t>been</t>
  </si>
  <si>
    <t>being</t>
  </si>
  <si>
    <t>N</t>
  </si>
  <si>
    <t>adjective/noun/PP</t>
  </si>
  <si>
    <t>seems</t>
  </si>
  <si>
    <t>seemed</t>
  </si>
  <si>
    <t>seeming</t>
  </si>
  <si>
    <t>adjective/to-infinitive</t>
  </si>
  <si>
    <t>becomes</t>
  </si>
  <si>
    <t>became</t>
  </si>
  <si>
    <t>becoming</t>
  </si>
  <si>
    <t>adjective/noun</t>
  </si>
  <si>
    <t>feels</t>
  </si>
  <si>
    <t>felt</t>
  </si>
  <si>
    <t>feeling</t>
  </si>
  <si>
    <t>goes</t>
  </si>
  <si>
    <t>went</t>
  </si>
  <si>
    <t>gone</t>
  </si>
  <si>
    <t>going</t>
  </si>
  <si>
    <t>PP/to-infinitive</t>
  </si>
  <si>
    <t>arrives</t>
  </si>
  <si>
    <t>arrived</t>
  </si>
  <si>
    <t>arriving</t>
  </si>
  <si>
    <t>PP</t>
  </si>
  <si>
    <t>sleeps</t>
  </si>
  <si>
    <t>slept</t>
  </si>
  <si>
    <t>sleeping</t>
  </si>
  <si>
    <t>adverb/PP</t>
  </si>
  <si>
    <t>laughs</t>
  </si>
  <si>
    <t>laughed</t>
  </si>
  <si>
    <t>laughing</t>
  </si>
  <si>
    <t>works</t>
  </si>
  <si>
    <t>worked</t>
  </si>
  <si>
    <t>working</t>
  </si>
  <si>
    <t>runs</t>
  </si>
  <si>
    <t>ran</t>
  </si>
  <si>
    <t>running</t>
  </si>
  <si>
    <t>reads</t>
  </si>
  <si>
    <t>reading</t>
  </si>
  <si>
    <t>writes</t>
  </si>
  <si>
    <t>wrote</t>
  </si>
  <si>
    <t>written</t>
  </si>
  <si>
    <t>writing</t>
  </si>
  <si>
    <t>opens</t>
  </si>
  <si>
    <t>opened</t>
  </si>
  <si>
    <t>opening</t>
  </si>
  <si>
    <t>closes</t>
  </si>
  <si>
    <t>closed</t>
  </si>
  <si>
    <t>closing</t>
  </si>
  <si>
    <t>builds</t>
  </si>
  <si>
    <t>built</t>
  </si>
  <si>
    <t>building</t>
  </si>
  <si>
    <t>watches</t>
  </si>
  <si>
    <t>watched</t>
  </si>
  <si>
    <t>watching</t>
  </si>
  <si>
    <t>needs</t>
  </si>
  <si>
    <t>needed</t>
  </si>
  <si>
    <t>needing</t>
  </si>
  <si>
    <t>object/to-infinitive</t>
  </si>
  <si>
    <t>wants</t>
  </si>
  <si>
    <t>wanted</t>
  </si>
  <si>
    <t>wanting</t>
  </si>
  <si>
    <t>likes</t>
  </si>
  <si>
    <t>liked</t>
  </si>
  <si>
    <t>liking</t>
  </si>
  <si>
    <t>object/gerund/to-infinitive</t>
  </si>
  <si>
    <t>loves</t>
  </si>
  <si>
    <t>loved</t>
  </si>
  <si>
    <t>loving</t>
  </si>
  <si>
    <t>studies</t>
  </si>
  <si>
    <t>studied</t>
  </si>
  <si>
    <t>studying</t>
  </si>
  <si>
    <t>learns</t>
  </si>
  <si>
    <t>learned</t>
  </si>
  <si>
    <t>learning</t>
  </si>
  <si>
    <t>helps</t>
  </si>
  <si>
    <t>helped</t>
  </si>
  <si>
    <t>helping</t>
  </si>
  <si>
    <t>object/object+infinitive</t>
  </si>
  <si>
    <t>gives</t>
  </si>
  <si>
    <t>gave</t>
  </si>
  <si>
    <t>given</t>
  </si>
  <si>
    <t>giving</t>
  </si>
  <si>
    <t>IOBJ+OBJ / OBJ+to+IOBJ</t>
  </si>
  <si>
    <t>sends</t>
  </si>
  <si>
    <t>sent</t>
  </si>
  <si>
    <t>sending</t>
  </si>
  <si>
    <t>shows</t>
  </si>
  <si>
    <t>showed</t>
  </si>
  <si>
    <t>shown</t>
  </si>
  <si>
    <t>showing</t>
  </si>
  <si>
    <t>tells</t>
  </si>
  <si>
    <t>told</t>
  </si>
  <si>
    <t>telling</t>
  </si>
  <si>
    <t>IOBJ+OBJ</t>
  </si>
  <si>
    <t>teaches</t>
  </si>
  <si>
    <t>taught</t>
  </si>
  <si>
    <t>teaching</t>
  </si>
  <si>
    <t>offers</t>
  </si>
  <si>
    <t>offered</t>
  </si>
  <si>
    <t>offering</t>
  </si>
  <si>
    <t>gets</t>
  </si>
  <si>
    <t>got</t>
  </si>
  <si>
    <t>got/gotten</t>
  </si>
  <si>
    <t>getting</t>
  </si>
  <si>
    <t>adjective/ING/PP/to-infinitive</t>
  </si>
  <si>
    <t>starts</t>
  </si>
  <si>
    <t>started</t>
  </si>
  <si>
    <t>starting</t>
  </si>
  <si>
    <t>gerund/to-infinitive</t>
  </si>
  <si>
    <t>finishes</t>
  </si>
  <si>
    <t>finished</t>
  </si>
  <si>
    <t>finishing</t>
  </si>
  <si>
    <t>gerund</t>
  </si>
  <si>
    <t>plans</t>
  </si>
  <si>
    <t>planned</t>
  </si>
  <si>
    <t>planning</t>
  </si>
  <si>
    <t>to-infinitive</t>
  </si>
  <si>
    <t>decides</t>
  </si>
  <si>
    <t>decided</t>
  </si>
  <si>
    <t>deciding</t>
  </si>
  <si>
    <t>enjoys</t>
  </si>
  <si>
    <t>enjoyed</t>
  </si>
  <si>
    <t>enjoying</t>
  </si>
  <si>
    <t>asks</t>
  </si>
  <si>
    <t>asked</t>
  </si>
  <si>
    <t>asking</t>
  </si>
  <si>
    <t>object+to-infinitive</t>
  </si>
  <si>
    <t>expects</t>
  </si>
  <si>
    <t>expected</t>
  </si>
  <si>
    <t>expecting</t>
  </si>
  <si>
    <t>makes</t>
  </si>
  <si>
    <t>made</t>
  </si>
  <si>
    <t>making</t>
  </si>
  <si>
    <t>object+base</t>
  </si>
  <si>
    <t>lets</t>
  </si>
  <si>
    <t>letting</t>
  </si>
  <si>
    <t>tries</t>
  </si>
  <si>
    <t>tried</t>
  </si>
  <si>
    <t>trying</t>
  </si>
  <si>
    <t>Pattern_ID</t>
  </si>
  <si>
    <t>Domain</t>
  </si>
  <si>
    <t>Family</t>
  </si>
  <si>
    <t>Pattern_Name</t>
  </si>
  <si>
    <t>Template</t>
  </si>
  <si>
    <t>Spanish_Guide</t>
  </si>
  <si>
    <t>Min_Level</t>
  </si>
  <si>
    <t>Max_Tokens</t>
  </si>
  <si>
    <t>Recursive</t>
  </si>
  <si>
    <t>Example_EN</t>
  </si>
  <si>
    <t>P001</t>
  </si>
  <si>
    <t>Phrase</t>
  </si>
  <si>
    <t>Noun phrase</t>
  </si>
  <si>
    <t>Pronoun</t>
  </si>
  <si>
    <t>PRON</t>
  </si>
  <si>
    <t>Pronombre</t>
  </si>
  <si>
    <t>She</t>
  </si>
  <si>
    <t>P002</t>
  </si>
  <si>
    <t>Noun</t>
  </si>
  <si>
    <t>Sustantivo</t>
  </si>
  <si>
    <t>students</t>
  </si>
  <si>
    <t>P003</t>
  </si>
  <si>
    <t>Determiner + noun</t>
  </si>
  <si>
    <t>DET + N</t>
  </si>
  <si>
    <t>Determinante + sustantivo</t>
  </si>
  <si>
    <t>the student</t>
  </si>
  <si>
    <t>P004</t>
  </si>
  <si>
    <t>Determiner + adjective + noun</t>
  </si>
  <si>
    <t>DET + ADJ + N</t>
  </si>
  <si>
    <t>Determinante + adjetivo + sustantivo</t>
  </si>
  <si>
    <t>a good book</t>
  </si>
  <si>
    <t>P005</t>
  </si>
  <si>
    <t>Determiner + adverb + adjective + noun</t>
  </si>
  <si>
    <t>DET + ADV + ADJ + N</t>
  </si>
  <si>
    <t>Determinante + adverbio + adjetivo + sustantivo</t>
  </si>
  <si>
    <t>a very good book</t>
  </si>
  <si>
    <t>P006</t>
  </si>
  <si>
    <t>Expanded noun phrase with PP</t>
  </si>
  <si>
    <t>DET + ADV + ADJ + N + PP</t>
  </si>
  <si>
    <t>Grupo nominal expandido con frase preposicional</t>
  </si>
  <si>
    <t>the very kind teacher at school</t>
  </si>
  <si>
    <t>P007</t>
  </si>
  <si>
    <t>Noun + noun</t>
  </si>
  <si>
    <t>N_MOD + N</t>
  </si>
  <si>
    <t>Sustantivo que modifica a otro sustantivo</t>
  </si>
  <si>
    <t>school bus</t>
  </si>
  <si>
    <t>P008</t>
  </si>
  <si>
    <t>Noun or gerund + PP</t>
  </si>
  <si>
    <t>N_GERUND + PP</t>
  </si>
  <si>
    <t>Sustantivo o gerundio seguido de frase preposicional</t>
  </si>
  <si>
    <t>studying at home</t>
  </si>
  <si>
    <t>P009</t>
  </si>
  <si>
    <t>Adjective phrase</t>
  </si>
  <si>
    <t>Multiple adjectives in order</t>
  </si>
  <si>
    <t>ADJ_OPINION + ADJ_SIZE + ADJ_AGE + ADJ_COLOR + ADJ_ORIGIN + ADJ_MATERIAL</t>
  </si>
  <si>
    <t>Orden: opinión, tamaño, edad, color, origen, material</t>
  </si>
  <si>
    <t>beautiful small old red Spanish wooden</t>
  </si>
  <si>
    <t>P010</t>
  </si>
  <si>
    <t>Adverb + adjective</t>
  </si>
  <si>
    <t>ADV_DEGREE + ADJ</t>
  </si>
  <si>
    <t>Adverbio de grado + adjetivo</t>
  </si>
  <si>
    <t>really interesting</t>
  </si>
  <si>
    <t>P011</t>
  </si>
  <si>
    <t>Participial adjective + PP</t>
  </si>
  <si>
    <t>ADJ_PART + PP</t>
  </si>
  <si>
    <t>Adjetivo participial + frase preposicional</t>
  </si>
  <si>
    <t>excited about the game</t>
  </si>
  <si>
    <t>P012</t>
  </si>
  <si>
    <t>Adverb phrase</t>
  </si>
  <si>
    <t>Adverb + adverb</t>
  </si>
  <si>
    <t>ADV_DEGREE + ADV</t>
  </si>
  <si>
    <t>Adverbio que modifica a otro adverbio</t>
  </si>
  <si>
    <t>very quickly</t>
  </si>
  <si>
    <t>P013</t>
  </si>
  <si>
    <t>Expandable adverb string</t>
  </si>
  <si>
    <t>ADV + ADV</t>
  </si>
  <si>
    <t>Cadena recursiva de adverbios</t>
  </si>
  <si>
    <t>really very carefully</t>
  </si>
  <si>
    <t>P014</t>
  </si>
  <si>
    <t>Prepositional phrase</t>
  </si>
  <si>
    <t>Preposition + noun</t>
  </si>
  <si>
    <t>PREP + N</t>
  </si>
  <si>
    <t>Preposición + sustantivo</t>
  </si>
  <si>
    <t>at home</t>
  </si>
  <si>
    <t>P015</t>
  </si>
  <si>
    <t>Preposition + determiner + noun</t>
  </si>
  <si>
    <t>PREP + DET + N</t>
  </si>
  <si>
    <t>Preposición + determinante + sustantivo</t>
  </si>
  <si>
    <t>in the park</t>
  </si>
  <si>
    <t>P016</t>
  </si>
  <si>
    <t>Preposition + determiner + adjective + noun</t>
  </si>
  <si>
    <t>PREP + DET + ADJ + N</t>
  </si>
  <si>
    <t>Frase preposicional con descripción</t>
  </si>
  <si>
    <t>in the quiet room</t>
  </si>
  <si>
    <t>P017</t>
  </si>
  <si>
    <t>Expanded prepositional phrase</t>
  </si>
  <si>
    <t>PREP + DET + ADV + ADJ + N</t>
  </si>
  <si>
    <t>Frase preposicional expandida</t>
  </si>
  <si>
    <t>in the very quiet room</t>
  </si>
  <si>
    <t>P018</t>
  </si>
  <si>
    <t>Predicate</t>
  </si>
  <si>
    <t>Imperative</t>
  </si>
  <si>
    <t>Base verb</t>
  </si>
  <si>
    <t>V_BASE</t>
  </si>
  <si>
    <t>Imperativo con verbo base</t>
  </si>
  <si>
    <t>Listen</t>
  </si>
  <si>
    <t>P019</t>
  </si>
  <si>
    <t>Base verb + object</t>
  </si>
  <si>
    <t>V_BASE + OBJ</t>
  </si>
  <si>
    <t>Imperativo transitivo</t>
  </si>
  <si>
    <t>Open the door</t>
  </si>
  <si>
    <t>P020</t>
  </si>
  <si>
    <t>Go + base verb</t>
  </si>
  <si>
    <t>GO_IMP + V_BASE</t>
  </si>
  <si>
    <t>Go + verbo base en instrucción informal</t>
  </si>
  <si>
    <t>Go help your friend</t>
  </si>
  <si>
    <t>P021</t>
  </si>
  <si>
    <t>Linking</t>
  </si>
  <si>
    <t>Subject + linking verb + complement</t>
  </si>
  <si>
    <t>SUBJ + V_LINK + COMP</t>
  </si>
  <si>
    <t>Sujeto + verbo copulativo + complemento</t>
  </si>
  <si>
    <t>The student is ready</t>
  </si>
  <si>
    <t>P022</t>
  </si>
  <si>
    <t>Intransitive</t>
  </si>
  <si>
    <t>Subject + intransitive verb</t>
  </si>
  <si>
    <t>SUBJ + V_INTR</t>
  </si>
  <si>
    <t>Sujeto + verbo intransitivo</t>
  </si>
  <si>
    <t>The child sleeps</t>
  </si>
  <si>
    <t>P023</t>
  </si>
  <si>
    <t>Transitive</t>
  </si>
  <si>
    <t>Subject + transitive verb + object</t>
  </si>
  <si>
    <t>SUBJ + V_TR + OBJ</t>
  </si>
  <si>
    <t>Sujeto + verbo transitivo + objeto</t>
  </si>
  <si>
    <t>The student reads the book</t>
  </si>
  <si>
    <t>P024</t>
  </si>
  <si>
    <t>Ditransitive</t>
  </si>
  <si>
    <t>Subject + verb + indirect object + direct object</t>
  </si>
  <si>
    <t>SUBJ + V_DITR + IOBJ + OBJ</t>
  </si>
  <si>
    <t>Sujeto + verbo + a quién + qué</t>
  </si>
  <si>
    <t>The teacher gives us a lesson</t>
  </si>
  <si>
    <t>P025</t>
  </si>
  <si>
    <t>Subject + verb + direct object + to + indirect object</t>
  </si>
  <si>
    <t>SUBJ + V_DITR + OBJ + TO + IOBJ</t>
  </si>
  <si>
    <t>Sujeto + verbo + qué + to + a quién</t>
  </si>
  <si>
    <t>The teacher gives a lesson to us</t>
  </si>
  <si>
    <t>P026</t>
  </si>
  <si>
    <t>Verb phrase</t>
  </si>
  <si>
    <t>Auxiliary do</t>
  </si>
  <si>
    <t>Do + base verb</t>
  </si>
  <si>
    <t>AUX_DO + V_BASE</t>
  </si>
  <si>
    <t>Do auxiliar obliga al verbo base</t>
  </si>
  <si>
    <t>do understand</t>
  </si>
  <si>
    <t>P027</t>
  </si>
  <si>
    <t>Progressive</t>
  </si>
  <si>
    <t>Be + present participle</t>
  </si>
  <si>
    <t>AUX_BE + V_ING</t>
  </si>
  <si>
    <t>Be + gerundio para aspecto progresivo</t>
  </si>
  <si>
    <t>is reading</t>
  </si>
  <si>
    <t>P028</t>
  </si>
  <si>
    <t>Perfect</t>
  </si>
  <si>
    <t>Have + past participle</t>
  </si>
  <si>
    <t>AUX_HAVE + V_PP</t>
  </si>
  <si>
    <t>Have + participio pasado</t>
  </si>
  <si>
    <t>has finished</t>
  </si>
  <si>
    <t>P029</t>
  </si>
  <si>
    <t>Modal</t>
  </si>
  <si>
    <t>Modal + base verb</t>
  </si>
  <si>
    <t>MODAL + V_BASE</t>
  </si>
  <si>
    <t>Modal + verbo base</t>
  </si>
  <si>
    <t>can help</t>
  </si>
  <si>
    <t>P030</t>
  </si>
  <si>
    <t>Going to</t>
  </si>
  <si>
    <t>Be + going + infinitive</t>
  </si>
  <si>
    <t>AUX_BE + GOING + TO + V_BASE</t>
  </si>
  <si>
    <t>Futuro con be going to</t>
  </si>
  <si>
    <t>is going to study</t>
  </si>
  <si>
    <t>P031</t>
  </si>
  <si>
    <t>Get progressive</t>
  </si>
  <si>
    <t>Get + present participle</t>
  </si>
  <si>
    <t>GET + V_ING</t>
  </si>
  <si>
    <t>Get + gerundio</t>
  </si>
  <si>
    <t>get moving</t>
  </si>
  <si>
    <t>P032</t>
  </si>
  <si>
    <t>Get passive/result</t>
  </si>
  <si>
    <t>Get + past participle</t>
  </si>
  <si>
    <t>GET + V_PP</t>
  </si>
  <si>
    <t>Get + participio para resultado o pasiva</t>
  </si>
  <si>
    <t>get ready</t>
  </si>
  <si>
    <t>P033</t>
  </si>
  <si>
    <t>Get infinitive</t>
  </si>
  <si>
    <t>Get + infinitive</t>
  </si>
  <si>
    <t>GET + TO + V_BASE</t>
  </si>
  <si>
    <t>Get + infinitivo</t>
  </si>
  <si>
    <t>get to learn</t>
  </si>
  <si>
    <t>P034</t>
  </si>
  <si>
    <t>Passive</t>
  </si>
  <si>
    <t>Be + past participle</t>
  </si>
  <si>
    <t>AUX_BE + V_PP</t>
  </si>
  <si>
    <t>Voz pasiva: be + participio</t>
  </si>
  <si>
    <t>was written</t>
  </si>
  <si>
    <t>P035</t>
  </si>
  <si>
    <t>Gerund complement</t>
  </si>
  <si>
    <t>Verb + gerund</t>
  </si>
  <si>
    <t>V_GERUND_HEAD + V_ING</t>
  </si>
  <si>
    <t>Verbo que selecciona gerundio</t>
  </si>
  <si>
    <t>enjoy reading</t>
  </si>
  <si>
    <t>P036</t>
  </si>
  <si>
    <t>Infinitive complement</t>
  </si>
  <si>
    <t>Verb + infinitive</t>
  </si>
  <si>
    <t>V_INF_HEAD + TO + V_BASE</t>
  </si>
  <si>
    <t>Verbo que selecciona infinitivo</t>
  </si>
  <si>
    <t>plan to study</t>
  </si>
  <si>
    <t>P037</t>
  </si>
  <si>
    <t>Object infinitive</t>
  </si>
  <si>
    <t>Verb + object + infinitive</t>
  </si>
  <si>
    <t>V_OBJ_INF + OBJ + TO + V_BASE</t>
  </si>
  <si>
    <t>Verbo + objeto + infinitivo</t>
  </si>
  <si>
    <t>ask the student to read</t>
  </si>
  <si>
    <t>P038</t>
  </si>
  <si>
    <t>Adjective complement</t>
  </si>
  <si>
    <t>Adjective + infinitive</t>
  </si>
  <si>
    <t>ADJ + TO + V_BASE</t>
  </si>
  <si>
    <t>Adjetivo + infinitivo</t>
  </si>
  <si>
    <t>ready to begin</t>
  </si>
  <si>
    <t>P039</t>
  </si>
  <si>
    <t>Phrasal/prepositional verb</t>
  </si>
  <si>
    <t>Verb + preposition</t>
  </si>
  <si>
    <t>V_BASE + PREP + OBJ</t>
  </si>
  <si>
    <t>Verbo + preposición + objeto</t>
  </si>
  <si>
    <t>look at the answer</t>
  </si>
  <si>
    <t>P040</t>
  </si>
  <si>
    <t>Auxiliary chain</t>
  </si>
  <si>
    <t>Multiple auxiliaries + lexical verb</t>
  </si>
  <si>
    <t>MODAL + AUX_HAVE + AUX_BE + V_PP</t>
  </si>
  <si>
    <t>Cadena de auxiliares; cada auxiliar determina la forma siguiente</t>
  </si>
  <si>
    <t>could have been done</t>
  </si>
  <si>
    <t>P041</t>
  </si>
  <si>
    <t>Recursive verb chain</t>
  </si>
  <si>
    <t>Verb + infinitive/gerund chain</t>
  </si>
  <si>
    <t>V_HEAD + TO + V_HEAD + V_ING</t>
  </si>
  <si>
    <t>Cadena expandible de infinitivos y gerundios</t>
  </si>
  <si>
    <t>plan to start building</t>
  </si>
  <si>
    <t>P042</t>
  </si>
  <si>
    <t>Clause</t>
  </si>
  <si>
    <t>Noun clause</t>
  </si>
  <si>
    <t>Relative pronoun as clause subject</t>
  </si>
  <si>
    <t>REL_PRON_SUBJ + PRED</t>
  </si>
  <si>
    <t>Pronombre relativo funciona como sujeto de la cláusula nominal</t>
  </si>
  <si>
    <t>who finished the work</t>
  </si>
  <si>
    <t>P043</t>
  </si>
  <si>
    <t>Relative pronoun + subject + predicate</t>
  </si>
  <si>
    <t>REL_PRON_OBJ + SUBJ + PRED</t>
  </si>
  <si>
    <t>Pronombre relativo funciona como objeto de la cláusula nominal</t>
  </si>
  <si>
    <t>what the student wrote</t>
  </si>
  <si>
    <t>P044</t>
  </si>
  <si>
    <t>Adverbial clause</t>
  </si>
  <si>
    <t>Subordinator + subject + predicate</t>
  </si>
  <si>
    <t>SUBCONJ + SUBJ + PRED</t>
  </si>
  <si>
    <t>Conjunción subordinante + oración</t>
  </si>
  <si>
    <t>because the teacher arrived</t>
  </si>
  <si>
    <t>P045</t>
  </si>
  <si>
    <t>Relative adverb + subject + predicate</t>
  </si>
  <si>
    <t>REL_ADV + SUBJ + PRED</t>
  </si>
  <si>
    <t>Adverbio relativo + oración</t>
  </si>
  <si>
    <t>when the lesson starts</t>
  </si>
  <si>
    <t>P046</t>
  </si>
  <si>
    <t>Relative clause</t>
  </si>
  <si>
    <t>Noun + subject relative clause</t>
  </si>
  <si>
    <t>NP_HEAD + REL_PRON_SUBJ + PRED</t>
  </si>
  <si>
    <t>Cláusula relativa cuyo pronombre es sujeto</t>
  </si>
  <si>
    <t>the student who answered the question</t>
  </si>
  <si>
    <t>P047</t>
  </si>
  <si>
    <t>Noun + object relative clause</t>
  </si>
  <si>
    <t>NP_HEAD + REL_PRON_OBJ + SUBJ + PRED</t>
  </si>
  <si>
    <t>Cláusula relativa cuyo pronombre es objeto</t>
  </si>
  <si>
    <t>the book that the teacher wrote</t>
  </si>
  <si>
    <t>P048</t>
  </si>
  <si>
    <t>Independent imperative</t>
  </si>
  <si>
    <t>Imperative clause</t>
  </si>
  <si>
    <t>Cláusula imperativa completa</t>
  </si>
  <si>
    <t>Open the blue book</t>
  </si>
  <si>
    <t>P049</t>
  </si>
  <si>
    <t>Independent declarative</t>
  </si>
  <si>
    <t>Subject + intransitive predicate</t>
  </si>
  <si>
    <t>Cláusula declarativa intransitiva</t>
  </si>
  <si>
    <t>The children laughed</t>
  </si>
  <si>
    <t>P050</t>
  </si>
  <si>
    <t>Subject + transitive predicate</t>
  </si>
  <si>
    <t>Cláusula declarativa transitiva</t>
  </si>
  <si>
    <t>The teacher opened the door</t>
  </si>
  <si>
    <t>P051</t>
  </si>
  <si>
    <t>Fully expanded declarative</t>
  </si>
  <si>
    <t>NP_EXPANDED + VP_EXPANDED + ADV_PHRASE + PP</t>
  </si>
  <si>
    <t>Sujeto y predicado con modificadores expandidos</t>
  </si>
  <si>
    <t>The very kind teacher at school speaks really slowly in the room</t>
  </si>
  <si>
    <t>P052</t>
  </si>
  <si>
    <t>Interrogative</t>
  </si>
  <si>
    <t>Auxiliary + subject + base predicate</t>
  </si>
  <si>
    <t>AUX + SUBJ + V_BASE + PRED_REST + QMARK</t>
  </si>
  <si>
    <t>Inversión auxiliar-sujeto</t>
  </si>
  <si>
    <t>Do the students understand the lesson ?</t>
  </si>
  <si>
    <t>P053</t>
  </si>
  <si>
    <t>Question word + auxiliary + subject + predicate</t>
  </si>
  <si>
    <t>WH + AUX + SUBJ + V_BASE + PRED_REST + QMARK</t>
  </si>
  <si>
    <t>Palabra interrogativa + inversión</t>
  </si>
  <si>
    <t>Why did the student close the book ?</t>
  </si>
  <si>
    <t>P054</t>
  </si>
  <si>
    <t>Exclamative</t>
  </si>
  <si>
    <t>What + noun phrase</t>
  </si>
  <si>
    <t>WHAT_EXCL + NP + EXMARK</t>
  </si>
  <si>
    <t>Exclamación con what</t>
  </si>
  <si>
    <t>What a beautiful story !</t>
  </si>
  <si>
    <t>P055</t>
  </si>
  <si>
    <t>Sentence</t>
  </si>
  <si>
    <t>Simple</t>
  </si>
  <si>
    <t>Independent clause</t>
  </si>
  <si>
    <t>CLAUSE_IND</t>
  </si>
  <si>
    <t>Una sola cláusula independiente</t>
  </si>
  <si>
    <t>P056</t>
  </si>
  <si>
    <t>Compound</t>
  </si>
  <si>
    <t>Independent + FANBOYS + independent</t>
  </si>
  <si>
    <t>CLAUSE_IND + FANBOYS + CLAUSE_IND</t>
  </si>
  <si>
    <t>Dos cláusulas independientes coordinadas</t>
  </si>
  <si>
    <t>The student read, and the teacher listened</t>
  </si>
  <si>
    <t>P057</t>
  </si>
  <si>
    <t>Complex</t>
  </si>
  <si>
    <t>Independent + dependent</t>
  </si>
  <si>
    <t>CLAUSE_IND + CLAUSE_DEP</t>
  </si>
  <si>
    <t>Cláusula independiente + subordinada</t>
  </si>
  <si>
    <t>The class started when the teacher arrived</t>
  </si>
  <si>
    <t>P058</t>
  </si>
  <si>
    <t>Dependent + comma + independent</t>
  </si>
  <si>
    <t>CLAUSE_DEP + COMMA + CLAUSE_IND</t>
  </si>
  <si>
    <t>Subordinada inicial + coma + principal</t>
  </si>
  <si>
    <t>When the teacher arrived, the class started</t>
  </si>
  <si>
    <t>P059</t>
  </si>
  <si>
    <t>Compound-complex</t>
  </si>
  <si>
    <t>Compound sentence with dependent clause</t>
  </si>
  <si>
    <t>CLAUSE_IND + FANBOYS + CLAUSE_IND + CLAUSE_DEP</t>
  </si>
  <si>
    <t>Dos principales y al menos una subordinada</t>
  </si>
  <si>
    <t>The student read, and the teacher listened while the class worked</t>
  </si>
  <si>
    <t>Slot_Order</t>
  </si>
  <si>
    <t>Slot_Code</t>
  </si>
  <si>
    <t>Required</t>
  </si>
  <si>
    <t>Allowed_POS</t>
  </si>
  <si>
    <t>Allowed_Subtype</t>
  </si>
  <si>
    <t>Agreement_Rule</t>
  </si>
  <si>
    <t>subject/object</t>
  </si>
  <si>
    <t>DET</t>
  </si>
  <si>
    <t>any</t>
  </si>
  <si>
    <t>ADJ</t>
  </si>
  <si>
    <t>ADV</t>
  </si>
  <si>
    <t>pattern-ref</t>
  </si>
  <si>
    <t>compatible</t>
  </si>
  <si>
    <t>Resolver mediante otro Pattern_ID compatible</t>
  </si>
  <si>
    <t>N_MOD</t>
  </si>
  <si>
    <t>N_GERUND</t>
  </si>
  <si>
    <t>ADJ_OPINION</t>
  </si>
  <si>
    <t>ADJ_SIZE</t>
  </si>
  <si>
    <t>ADJ_AGE</t>
  </si>
  <si>
    <t>ADJ_COLOR</t>
  </si>
  <si>
    <t>ADJ_ORIGIN</t>
  </si>
  <si>
    <t>ADJ_MATERIAL</t>
  </si>
  <si>
    <t>ADV_DEGREE</t>
  </si>
  <si>
    <t>ADJ_PART</t>
  </si>
  <si>
    <t>PREP</t>
  </si>
  <si>
    <t>Después de do/modal/to: forma base</t>
  </si>
  <si>
    <t>OBJ</t>
  </si>
  <si>
    <t>pronoun|noun|phrase</t>
  </si>
  <si>
    <t>object-compatible</t>
  </si>
  <si>
    <t>GO_IMP</t>
  </si>
  <si>
    <t>SUBJ</t>
  </si>
  <si>
    <t>subject-compatible</t>
  </si>
  <si>
    <t>V_LINK</t>
  </si>
  <si>
    <t>Concordar con sujeto y tiempo</t>
  </si>
  <si>
    <t>COMP</t>
  </si>
  <si>
    <t>adjective|noun|adverb|phrase</t>
  </si>
  <si>
    <t>complement</t>
  </si>
  <si>
    <t>V_INTR</t>
  </si>
  <si>
    <t>V_TR</t>
  </si>
  <si>
    <t>V_DITR</t>
  </si>
  <si>
    <t>IOBJ</t>
  </si>
  <si>
    <t>TO</t>
  </si>
  <si>
    <t>AUX_DO</t>
  </si>
  <si>
    <t>AUX_BE</t>
  </si>
  <si>
    <t>V_ING</t>
  </si>
  <si>
    <t>verb-form</t>
  </si>
  <si>
    <t>Forma -ing</t>
  </si>
  <si>
    <t>AUX_HAVE</t>
  </si>
  <si>
    <t>V_PP</t>
  </si>
  <si>
    <t>past-participle</t>
  </si>
  <si>
    <t>Participio pasado</t>
  </si>
  <si>
    <t>MODAL</t>
  </si>
  <si>
    <t>GOING</t>
  </si>
  <si>
    <t>GET</t>
  </si>
  <si>
    <t>V_GERUND_HEAD</t>
  </si>
  <si>
    <t>V_INF_HEAD</t>
  </si>
  <si>
    <t>V_OBJ_INF</t>
  </si>
  <si>
    <t>V_HEAD</t>
  </si>
  <si>
    <t>REL_PRON_SUBJ</t>
  </si>
  <si>
    <t>PRED</t>
  </si>
  <si>
    <t>REL_PRON_OBJ</t>
  </si>
  <si>
    <t>SUBCONJ</t>
  </si>
  <si>
    <t>REL_ADV</t>
  </si>
  <si>
    <t>NP_HEAD</t>
  </si>
  <si>
    <t>NP_EXPANDED</t>
  </si>
  <si>
    <t>VP_EXPANDED</t>
  </si>
  <si>
    <t>ADV_PHRASE</t>
  </si>
  <si>
    <t>AUX</t>
  </si>
  <si>
    <t>auxiliary|modal</t>
  </si>
  <si>
    <t>PRED_REST</t>
  </si>
  <si>
    <t>QMARK</t>
  </si>
  <si>
    <t>WH</t>
  </si>
  <si>
    <t>WHAT_EXCL</t>
  </si>
  <si>
    <t>NP</t>
  </si>
  <si>
    <t>EXMARK</t>
  </si>
  <si>
    <t>FANBOYS</t>
  </si>
  <si>
    <t>CLAUSE_DEP</t>
  </si>
  <si>
    <t>COMMA</t>
  </si>
  <si>
    <t>Challenge_ID</t>
  </si>
  <si>
    <t>Prompt_ES</t>
  </si>
  <si>
    <t>Correct_EN</t>
  </si>
  <si>
    <t>Shuffled_Tokens</t>
  </si>
  <si>
    <t>Accept_Alt_EN</t>
  </si>
  <si>
    <t>Explanation_ES</t>
  </si>
  <si>
    <t>Skill_Tag</t>
  </si>
  <si>
    <t>Difficulty</t>
  </si>
  <si>
    <t>Source_Type</t>
  </si>
  <si>
    <t>Token_Count</t>
  </si>
  <si>
    <t>C0001</t>
  </si>
  <si>
    <t>Ordena los elementos según P001; conserva la forma verbal y la función de cada grupo.</t>
  </si>
  <si>
    <t>Easy</t>
  </si>
  <si>
    <t>authored</t>
  </si>
  <si>
    <t>C0002</t>
  </si>
  <si>
    <t>estudiantes</t>
  </si>
  <si>
    <t>Ordena los elementos según P002; conserva la forma verbal y la función de cada grupo.</t>
  </si>
  <si>
    <t>C0003</t>
  </si>
  <si>
    <t>el libro</t>
  </si>
  <si>
    <t>the book</t>
  </si>
  <si>
    <t>book|the</t>
  </si>
  <si>
    <t>Ordena los elementos según P003; conserva la forma verbal y la función de cada grupo.</t>
  </si>
  <si>
    <t>determiner-noun</t>
  </si>
  <si>
    <t>C0004</t>
  </si>
  <si>
    <t>mi amigo</t>
  </si>
  <si>
    <t>my friend</t>
  </si>
  <si>
    <t>friend|my</t>
  </si>
  <si>
    <t>C0005</t>
  </si>
  <si>
    <t>una pregunta</t>
  </si>
  <si>
    <t>a question</t>
  </si>
  <si>
    <t>question|a</t>
  </si>
  <si>
    <t>article</t>
  </si>
  <si>
    <t>C0006</t>
  </si>
  <si>
    <t>esos estudiantes</t>
  </si>
  <si>
    <t>those students</t>
  </si>
  <si>
    <t>students|those</t>
  </si>
  <si>
    <t>C0007</t>
  </si>
  <si>
    <t>un buen libro</t>
  </si>
  <si>
    <t>good|book|a</t>
  </si>
  <si>
    <t>Ordena los elementos según P004; conserva la forma verbal y la función de cada grupo.</t>
  </si>
  <si>
    <t>adjective-order</t>
  </si>
  <si>
    <t>C0008</t>
  </si>
  <si>
    <t>la pequeña habitación</t>
  </si>
  <si>
    <t>the small room</t>
  </si>
  <si>
    <t>room|the|small</t>
  </si>
  <si>
    <t>C0009</t>
  </si>
  <si>
    <t>una historia muy interesante</t>
  </si>
  <si>
    <t>a very interesting story</t>
  </si>
  <si>
    <t>story|very|a|interesting</t>
  </si>
  <si>
    <t>Ordena los elementos según P005; conserva la forma verbal y la función de cada grupo.</t>
  </si>
  <si>
    <t>degree-adverb</t>
  </si>
  <si>
    <t>C0010</t>
  </si>
  <si>
    <t>realmente feliz</t>
  </si>
  <si>
    <t>really happy</t>
  </si>
  <si>
    <t>happy|really</t>
  </si>
  <si>
    <t>Ordena los elementos según P010; conserva la forma verbal y la función de cada grupo.</t>
  </si>
  <si>
    <t>adjective-phrase</t>
  </si>
  <si>
    <t>C0011</t>
  </si>
  <si>
    <t>La estudiante está lista.</t>
  </si>
  <si>
    <t>ready|is|The student</t>
  </si>
  <si>
    <t>Ordena los elementos según P021; conserva la forma verbal y la función de cada grupo.</t>
  </si>
  <si>
    <t>C0012</t>
  </si>
  <si>
    <t>Los niños están felices.</t>
  </si>
  <si>
    <t>The children are happy</t>
  </si>
  <si>
    <t>happy|The children|are</t>
  </si>
  <si>
    <t>C0013</t>
  </si>
  <si>
    <t>¡Escucha!</t>
  </si>
  <si>
    <t>Ordena los elementos según P018; conserva la forma verbal y la función de cada grupo.</t>
  </si>
  <si>
    <t>imperative</t>
  </si>
  <si>
    <t>C0014</t>
  </si>
  <si>
    <t>Abre la puerta.</t>
  </si>
  <si>
    <t>door|Open|the</t>
  </si>
  <si>
    <t>Ordena los elementos según P019; conserva la forma verbal y la función de cada grupo.</t>
  </si>
  <si>
    <t>imperative-object</t>
  </si>
  <si>
    <t>C0015</t>
  </si>
  <si>
    <t>Lee el libro.</t>
  </si>
  <si>
    <t>Read the book</t>
  </si>
  <si>
    <t>the|Read|book</t>
  </si>
  <si>
    <t>C0016</t>
  </si>
  <si>
    <t>El niño duerme.</t>
  </si>
  <si>
    <t>sleeps|The child</t>
  </si>
  <si>
    <t>Ordena los elementos según P022; conserva la forma verbal y la función de cada grupo.</t>
  </si>
  <si>
    <t>C0017</t>
  </si>
  <si>
    <t>La estudiante escribe una carta.</t>
  </si>
  <si>
    <t>The student writes a letter</t>
  </si>
  <si>
    <t>a letter|writes|The student</t>
  </si>
  <si>
    <t>Ordena los elementos según P023; conserva la forma verbal y la función de cada grupo.</t>
  </si>
  <si>
    <t>C0018</t>
  </si>
  <si>
    <t>Ellos estudian inglés.</t>
  </si>
  <si>
    <t>They study English</t>
  </si>
  <si>
    <t>English|They|study</t>
  </si>
  <si>
    <t>C0019</t>
  </si>
  <si>
    <t>muy rápidamente</t>
  </si>
  <si>
    <t>quickly|very</t>
  </si>
  <si>
    <t>Ordena los elementos según P012; conserva la forma verbal y la función de cada grupo.</t>
  </si>
  <si>
    <t>adverb-phrase</t>
  </si>
  <si>
    <t>Medium</t>
  </si>
  <si>
    <t>C0020</t>
  </si>
  <si>
    <t>en casa</t>
  </si>
  <si>
    <t>home|at</t>
  </si>
  <si>
    <t>Ordena los elementos según P014; conserva la forma verbal y la función de cada grupo.</t>
  </si>
  <si>
    <t>prepositional-phrase</t>
  </si>
  <si>
    <t>C0021</t>
  </si>
  <si>
    <t>en el parque</t>
  </si>
  <si>
    <t>park|in|the</t>
  </si>
  <si>
    <t>Ordena los elementos según P015; conserva la forma verbal y la función de cada grupo.</t>
  </si>
  <si>
    <t>C0022</t>
  </si>
  <si>
    <t>en la habitación silenciosa</t>
  </si>
  <si>
    <t>quiet|room|the|in</t>
  </si>
  <si>
    <t>Ordena los elementos según P016; conserva la forma verbal y la función de cada grupo.</t>
  </si>
  <si>
    <t>expanded-pp</t>
  </si>
  <si>
    <t>C0023</t>
  </si>
  <si>
    <t>El perro corre rápidamente.</t>
  </si>
  <si>
    <t>The dog runs quickly</t>
  </si>
  <si>
    <t>quickly|runs|The dog</t>
  </si>
  <si>
    <t>adverb-placement</t>
  </si>
  <si>
    <t>C0024</t>
  </si>
  <si>
    <t>Ella lee el libro cuidadosamente.</t>
  </si>
  <si>
    <t>She reads the book carefully</t>
  </si>
  <si>
    <t>carefully|the book|She|reads</t>
  </si>
  <si>
    <t>C0025</t>
  </si>
  <si>
    <t>La maestra nos da una lección.</t>
  </si>
  <si>
    <t>a lesson|us|gives|The teacher</t>
  </si>
  <si>
    <t>Ordena los elementos según P024; conserva la forma verbal y la función de cada grupo.</t>
  </si>
  <si>
    <t>double-object</t>
  </si>
  <si>
    <t>C0026</t>
  </si>
  <si>
    <t>to|a lesson|us|The teacher|gives</t>
  </si>
  <si>
    <t>Ordena los elementos según P025; conserva la forma verbal y la función de cada grupo.</t>
  </si>
  <si>
    <t>to-dative</t>
  </si>
  <si>
    <t>C0027</t>
  </si>
  <si>
    <t>Él le envía una carta a ella.</t>
  </si>
  <si>
    <t>He sends her a letter</t>
  </si>
  <si>
    <t>a letter|her|He|sends</t>
  </si>
  <si>
    <t>C0028</t>
  </si>
  <si>
    <t>He sends a letter to her</t>
  </si>
  <si>
    <t>her|to|sends|a letter|He</t>
  </si>
  <si>
    <t>C0029</t>
  </si>
  <si>
    <t>La estudiante nos muestra la respuesta.</t>
  </si>
  <si>
    <t>The student shows us the answer</t>
  </si>
  <si>
    <t>the answer|shows|us|The student</t>
  </si>
  <si>
    <t>C0030</t>
  </si>
  <si>
    <t>The student shows the answer to us</t>
  </si>
  <si>
    <t>us|the answer|to|shows|The student</t>
  </si>
  <si>
    <t>C0031</t>
  </si>
  <si>
    <t>Ellos sí entienden la lección.</t>
  </si>
  <si>
    <t>They do understand the lesson</t>
  </si>
  <si>
    <t>understand|the lesson|do|They</t>
  </si>
  <si>
    <t>Ordena los elementos según P026; conserva la forma verbal y la función de cada grupo.</t>
  </si>
  <si>
    <t>do-support</t>
  </si>
  <si>
    <t>C0032</t>
  </si>
  <si>
    <t>Ella está leyendo el libro.</t>
  </si>
  <si>
    <t>She is reading the book</t>
  </si>
  <si>
    <t>the book|reading|She|is</t>
  </si>
  <si>
    <t>Ordena los elementos según P027; conserva la forma verbal y la función de cada grupo.</t>
  </si>
  <si>
    <t>progressive</t>
  </si>
  <si>
    <t>C0033</t>
  </si>
  <si>
    <t>Él ha terminado el trabajo.</t>
  </si>
  <si>
    <t>He has finished the work</t>
  </si>
  <si>
    <t>finished|the work|has|He</t>
  </si>
  <si>
    <t>Ordena los elementos según P028; conserva la forma verbal y la función de cada grupo.</t>
  </si>
  <si>
    <t>perfect</t>
  </si>
  <si>
    <t>C0034</t>
  </si>
  <si>
    <t>Nosotros podemos ayudar al estudiante.</t>
  </si>
  <si>
    <t>We can help the student</t>
  </si>
  <si>
    <t>the student|help|can|We</t>
  </si>
  <si>
    <t>Ordena los elementos según P029; conserva la forma verbal y la función de cada grupo.</t>
  </si>
  <si>
    <t>C0035</t>
  </si>
  <si>
    <t>Ellos van a estudiar.</t>
  </si>
  <si>
    <t>They are going to study</t>
  </si>
  <si>
    <t>study|going|They|to|are</t>
  </si>
  <si>
    <t>Ordena los elementos según P030; conserva la forma verbal y la función de cada grupo.</t>
  </si>
  <si>
    <t>going-to</t>
  </si>
  <si>
    <t>C0036</t>
  </si>
  <si>
    <t>La maestra debe abrir la puerta.</t>
  </si>
  <si>
    <t>The teacher must open the door</t>
  </si>
  <si>
    <t>open|must|the door|The teacher</t>
  </si>
  <si>
    <t>C0037</t>
  </si>
  <si>
    <t>La carta fue escrita.</t>
  </si>
  <si>
    <t>The letter was written</t>
  </si>
  <si>
    <t>written|was|The letter</t>
  </si>
  <si>
    <t>Ordena los elementos según P034; conserva la forma verbal y la función de cada grupo.</t>
  </si>
  <si>
    <t>passive</t>
  </si>
  <si>
    <t>C0038</t>
  </si>
  <si>
    <t>Ella disfruta leyendo historias.</t>
  </si>
  <si>
    <t>She enjoys reading stories</t>
  </si>
  <si>
    <t>stories|enjoys|She|reading</t>
  </si>
  <si>
    <t>Ordena los elementos según P035; conserva la forma verbal y la función de cada grupo.</t>
  </si>
  <si>
    <t>gerund-complement</t>
  </si>
  <si>
    <t>C0039</t>
  </si>
  <si>
    <t>Ellos planean estudiar inglés.</t>
  </si>
  <si>
    <t>They plan to study English</t>
  </si>
  <si>
    <t>English|plan|They|study|to</t>
  </si>
  <si>
    <t>Ordena los elementos según P036; conserva la forma verbal y la función de cada grupo.</t>
  </si>
  <si>
    <t>C0040</t>
  </si>
  <si>
    <t>La maestra pide al estudiante que lea.</t>
  </si>
  <si>
    <t>The teacher asks the student to read</t>
  </si>
  <si>
    <t>to|The teacher|read|asks|the student</t>
  </si>
  <si>
    <t>Ordena los elementos según P037; conserva la forma verbal y la función de cada grupo.</t>
  </si>
  <si>
    <t>object-infinitive</t>
  </si>
  <si>
    <t>C0041</t>
  </si>
  <si>
    <t>Estamos listos para comenzar.</t>
  </si>
  <si>
    <t>We are ready to begin</t>
  </si>
  <si>
    <t>begin|ready|are|to|We</t>
  </si>
  <si>
    <t>Ordena los elementos según P038; conserva la forma verbal y la función de cada grupo.</t>
  </si>
  <si>
    <t>adjective-infinitive</t>
  </si>
  <si>
    <t>C0042</t>
  </si>
  <si>
    <t>El trabajo se termina.</t>
  </si>
  <si>
    <t>The work gets finished</t>
  </si>
  <si>
    <t>finished|gets|The work</t>
  </si>
  <si>
    <t>Ordena los elementos según P032; conserva la forma verbal y la función de cada grupo.</t>
  </si>
  <si>
    <t>get-passive</t>
  </si>
  <si>
    <t>C0043</t>
  </si>
  <si>
    <t>el maestro muy amable de la escuela</t>
  </si>
  <si>
    <t>the very kind teacher at the school</t>
  </si>
  <si>
    <t>at the school|kind|teacher|the|very</t>
  </si>
  <si>
    <t>Ordena los elementos según P006; conserva la forma verbal y la función de cada grupo.</t>
  </si>
  <si>
    <t>expanded-np</t>
  </si>
  <si>
    <t>C0044</t>
  </si>
  <si>
    <t>el autobús escolar</t>
  </si>
  <si>
    <t>the school bus</t>
  </si>
  <si>
    <t>bus|school|the</t>
  </si>
  <si>
    <t>Ordena los elementos según P007; conserva la forma verbal y la función de cada grupo.</t>
  </si>
  <si>
    <t>noun-modifier</t>
  </si>
  <si>
    <t>C0045</t>
  </si>
  <si>
    <t>estudiar en casa</t>
  </si>
  <si>
    <t>home|studying|at</t>
  </si>
  <si>
    <t>Ordena los elementos según P008; conserva la forma verbal y la función de cada grupo.</t>
  </si>
  <si>
    <t>gerund-pp</t>
  </si>
  <si>
    <t>C0046</t>
  </si>
  <si>
    <t>una hermosa mesa pequeña vieja de madera</t>
  </si>
  <si>
    <t>a beautiful small old wooden table</t>
  </si>
  <si>
    <t>wooden|small|table|a|old|beautiful</t>
  </si>
  <si>
    <t>Ordena los elementos según P009; conserva la forma verbal y la función de cada grupo.</t>
  </si>
  <si>
    <t>C0047</t>
  </si>
  <si>
    <t>emocionado por el juego</t>
  </si>
  <si>
    <t>the game|about|excited</t>
  </si>
  <si>
    <t>Ordena los elementos según P011; conserva la forma verbal y la función de cada grupo.</t>
  </si>
  <si>
    <t>participle-pp</t>
  </si>
  <si>
    <t>C0048</t>
  </si>
  <si>
    <t>La maestra muy amable habla muy lentamente en la habitación.</t>
  </si>
  <si>
    <t>The very kind teacher speaks very slowly in the room</t>
  </si>
  <si>
    <t>in the room|very|speaks|The|slowly|kind|teacher|very</t>
  </si>
  <si>
    <t>Ordena los elementos según P051; conserva la forma verbal y la función de cada grupo.</t>
  </si>
  <si>
    <t>expanded-clause</t>
  </si>
  <si>
    <t>C0049</t>
  </si>
  <si>
    <t>quien terminó el trabajo</t>
  </si>
  <si>
    <t>the work|finished|who</t>
  </si>
  <si>
    <t>Ordena los elementos según P042; conserva la forma verbal y la función de cada grupo.</t>
  </si>
  <si>
    <t>noun-clause</t>
  </si>
  <si>
    <t>Hard</t>
  </si>
  <si>
    <t>C0050</t>
  </si>
  <si>
    <t>lo que escribió la estudiante</t>
  </si>
  <si>
    <t>wrote|what|the student</t>
  </si>
  <si>
    <t>Ordena los elementos según P043; conserva la forma verbal y la función de cada grupo.</t>
  </si>
  <si>
    <t>C0051</t>
  </si>
  <si>
    <t>porque llegó la maestra</t>
  </si>
  <si>
    <t>arrived|because|the teacher</t>
  </si>
  <si>
    <t>Ordena los elementos según P044; conserva la forma verbal y la función de cada grupo.</t>
  </si>
  <si>
    <t>subordinate-clause</t>
  </si>
  <si>
    <t>C0052</t>
  </si>
  <si>
    <t>cuando empieza la lección</t>
  </si>
  <si>
    <t>starts|the lesson|when</t>
  </si>
  <si>
    <t>Ordena los elementos según P045; conserva la forma verbal y la función de cada grupo.</t>
  </si>
  <si>
    <t>C0053</t>
  </si>
  <si>
    <t>el estudiante que respondió la pregunta</t>
  </si>
  <si>
    <t>answered|the question|who|the student</t>
  </si>
  <si>
    <t>Ordena los elementos según P046; conserva la forma verbal y la función de cada grupo.</t>
  </si>
  <si>
    <t>subject-relative</t>
  </si>
  <si>
    <t>C0054</t>
  </si>
  <si>
    <t>el libro que escribió la maestra</t>
  </si>
  <si>
    <t>wrote|the teacher|that|the book</t>
  </si>
  <si>
    <t>Ordena los elementos según P047; conserva la forma verbal y la función de cada grupo.</t>
  </si>
  <si>
    <t>object-relative</t>
  </si>
  <si>
    <t>C0055</t>
  </si>
  <si>
    <t>¿Entienden los estudiantes la lección?</t>
  </si>
  <si>
    <t>the lesson|Do|?|understand|the students</t>
  </si>
  <si>
    <t>Ordena los elementos según P052; conserva la forma verbal y la función de cada grupo.</t>
  </si>
  <si>
    <t>yes-no-question</t>
  </si>
  <si>
    <t>C0056</t>
  </si>
  <si>
    <t>¿Por qué cerró el estudiante el libro?</t>
  </si>
  <si>
    <t>the book|Why|close|?|the student|did</t>
  </si>
  <si>
    <t>Ordena los elementos según P053; conserva la forma verbal y la función de cada grupo.</t>
  </si>
  <si>
    <t>wh-question</t>
  </si>
  <si>
    <t>C0057</t>
  </si>
  <si>
    <t>¿Dónde trabaja la maestra?</t>
  </si>
  <si>
    <t>Where does the teacher work ?</t>
  </si>
  <si>
    <t>work|the teacher|Where|?|does</t>
  </si>
  <si>
    <t>C0058</t>
  </si>
  <si>
    <t>¿Puede ella ayudar al niño?</t>
  </si>
  <si>
    <t>Can she help the child ?</t>
  </si>
  <si>
    <t>help|Can|?|the child|she</t>
  </si>
  <si>
    <t>modal-question</t>
  </si>
  <si>
    <t>C0059</t>
  </si>
  <si>
    <t>¡Qué historia tan hermosa!</t>
  </si>
  <si>
    <t>story|What|!|beautiful|a</t>
  </si>
  <si>
    <t>Ordena los elementos según P054; conserva la forma verbal y la función de cada grupo.</t>
  </si>
  <si>
    <t>exclamative</t>
  </si>
  <si>
    <t>C0060</t>
  </si>
  <si>
    <t>¡Qué pregunta tan difícil!</t>
  </si>
  <si>
    <t>What a difficult question !</t>
  </si>
  <si>
    <t>difficult|!|a|What|question</t>
  </si>
  <si>
    <t>C0061</t>
  </si>
  <si>
    <t>La estudiante leyó y la maestra escuchó.</t>
  </si>
  <si>
    <t>The student read , and the teacher listened</t>
  </si>
  <si>
    <t>the teacher|read|listened|The student|and|,</t>
  </si>
  <si>
    <t>Ordena los elementos según P056; conserva la forma verbal y la función de cada grupo.</t>
  </si>
  <si>
    <t>compound</t>
  </si>
  <si>
    <t>C0062</t>
  </si>
  <si>
    <t>Él abrió la puerta, pero ella cerró la ventana.</t>
  </si>
  <si>
    <t>He opened the door , but she closed the window</t>
  </si>
  <si>
    <t>she|the window|He|closed|but|opened|the door|,</t>
  </si>
  <si>
    <t>C0063</t>
  </si>
  <si>
    <t>La clase comenzó cuando llegó la maestra.</t>
  </si>
  <si>
    <t>the teacher|The class|arrived|when|started</t>
  </si>
  <si>
    <t>Ordena los elementos según P057; conserva la forma verbal y la función de cada grupo.</t>
  </si>
  <si>
    <t>C0064</t>
  </si>
  <si>
    <t>Cuando llegó la maestra, comenzó la clase.</t>
  </si>
  <si>
    <t>When the teacher arrived , the class started</t>
  </si>
  <si>
    <t>the class|When|started|the teacher|arrived|,</t>
  </si>
  <si>
    <t>Ordena los elementos según P058; conserva la forma verbal y la función de cada grupo.</t>
  </si>
  <si>
    <t>C0065</t>
  </si>
  <si>
    <t>El niño duerme porque está cansado.</t>
  </si>
  <si>
    <t>The child sleeps because he is tired</t>
  </si>
  <si>
    <t>he|sleeps|because|tired|The child|is</t>
  </si>
  <si>
    <t>C0066</t>
  </si>
  <si>
    <t>Aunque el libro es difícil, la estudiante lo entiende.</t>
  </si>
  <si>
    <t>Although the book is difficult , the student understands it</t>
  </si>
  <si>
    <t>understands|the student|Although|is|the book|it|difficult|,</t>
  </si>
  <si>
    <t>C0067</t>
  </si>
  <si>
    <t>El trabajo podría haber sido terminado.</t>
  </si>
  <si>
    <t>The work could have been finished</t>
  </si>
  <si>
    <t>finished|been|The work|have|could</t>
  </si>
  <si>
    <t>Ordena los elementos según P040; conserva la forma verbal y la función de cada grupo.</t>
  </si>
  <si>
    <t>auxiliary-chain</t>
  </si>
  <si>
    <t>C0068</t>
  </si>
  <si>
    <t>Ellos planean empezar a construir.</t>
  </si>
  <si>
    <t>They plan to start building</t>
  </si>
  <si>
    <t>building|start|They|plan|to</t>
  </si>
  <si>
    <t>Ordena los elementos según P041; conserva la forma verbal y la función de cada grupo.</t>
  </si>
  <si>
    <t>verb-chain</t>
  </si>
  <si>
    <t>C0069</t>
  </si>
  <si>
    <t>La estudiante leyó, y la maestra escuchó mientras la clase trabajaba.</t>
  </si>
  <si>
    <t>The student read , and the teacher listened while the class worked</t>
  </si>
  <si>
    <t>worked|the teacher|while|The student|and|listened|the class|read|,</t>
  </si>
  <si>
    <t>Ordena los elementos según P059; conserva la forma verbal y la función de cada grupo.</t>
  </si>
  <si>
    <t>compound-complex</t>
  </si>
  <si>
    <t>C0070</t>
  </si>
  <si>
    <t>Él abrió la puerta, pero ella cerró la ventana porque hacía frío.</t>
  </si>
  <si>
    <t>He opened the door , but she closed the window because it was cold</t>
  </si>
  <si>
    <t>because|the window|He|cold|opened|she|it|but|was|the door|closed|,</t>
  </si>
  <si>
    <t>C0071</t>
  </si>
  <si>
    <t>La carta podría haber sido escrita.</t>
  </si>
  <si>
    <t>The letter might have been written</t>
  </si>
  <si>
    <t>written|might|The letter|been|have</t>
  </si>
  <si>
    <t>C0072</t>
  </si>
  <si>
    <t>Ella decidió intentar aprender a escribir.</t>
  </si>
  <si>
    <t>She decided to try to learn to write</t>
  </si>
  <si>
    <t>learn|to|write|decided|to|She|try|to</t>
  </si>
  <si>
    <t>recursive-verb-chain</t>
  </si>
  <si>
    <t>Challenge_Count</t>
  </si>
  <si>
    <t>DATABASE COVERAGE</t>
  </si>
  <si>
    <t>LIVE COUNT</t>
  </si>
  <si>
    <t>Levels</t>
  </si>
  <si>
    <t>Vocabulary entries</t>
  </si>
  <si>
    <t>Verb paradigms</t>
  </si>
  <si>
    <t>Grammar patterns</t>
  </si>
  <si>
    <t>Pattern slot rules</t>
  </si>
  <si>
    <t>Playable challenges</t>
  </si>
  <si>
    <t>Active challenges</t>
  </si>
  <si>
    <t>Highest level</t>
  </si>
  <si>
    <t>exercise</t>
  </si>
  <si>
    <t>slot 1</t>
  </si>
  <si>
    <t>slot 2</t>
  </si>
  <si>
    <t>slot 3</t>
  </si>
  <si>
    <t>slot 4</t>
  </si>
  <si>
    <t>slot 5</t>
  </si>
  <si>
    <t>slot 6</t>
  </si>
  <si>
    <t>slot 7</t>
  </si>
  <si>
    <t>slot 8</t>
  </si>
  <si>
    <t>slot 9</t>
  </si>
  <si>
    <t>spanish prompt</t>
  </si>
  <si>
    <t>There is</t>
  </si>
  <si>
    <t>yellow</t>
  </si>
  <si>
    <t>stripe</t>
  </si>
  <si>
    <t>along</t>
  </si>
  <si>
    <t xml:space="preserve">the middle of </t>
  </si>
  <si>
    <t>street</t>
  </si>
  <si>
    <t>Hay una linea amarilla en medio de la calle.</t>
  </si>
  <si>
    <t>Look</t>
  </si>
  <si>
    <t>gas station</t>
  </si>
  <si>
    <t>way</t>
  </si>
  <si>
    <t>Busca una estación de gas por el camino.</t>
  </si>
  <si>
    <t>The</t>
  </si>
  <si>
    <t>branch</t>
  </si>
  <si>
    <t>scratched</t>
  </si>
  <si>
    <t>scar</t>
  </si>
  <si>
    <t xml:space="preserve">La rama me razguño a lo largo de mi cicatriz. </t>
  </si>
  <si>
    <t>Measure</t>
  </si>
  <si>
    <t>board</t>
  </si>
  <si>
    <t>curve</t>
  </si>
  <si>
    <t>Mide la tabla a lo largo de la curva.</t>
  </si>
  <si>
    <t>Hansel</t>
  </si>
  <si>
    <t>Gretel</t>
  </si>
  <si>
    <t>left</t>
  </si>
  <si>
    <t>breadcrumbs</t>
  </si>
  <si>
    <t>ground</t>
  </si>
  <si>
    <t>Hansel y Gretel dejaron migajas por el camino.</t>
  </si>
  <si>
    <t>We</t>
  </si>
  <si>
    <t>fence</t>
  </si>
  <si>
    <t>sidewalk</t>
  </si>
  <si>
    <t>Tenemos una cerca que corre junto a la banqueta.</t>
  </si>
  <si>
    <t>Be</t>
  </si>
  <si>
    <t>careful</t>
  </si>
  <si>
    <t>razor wire</t>
  </si>
  <si>
    <t xml:space="preserve">the top of </t>
  </si>
  <si>
    <t xml:space="preserve">Ten cuidado con el alambre de púas en la parte superior de la cerca.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</si>
</sst>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1" fontId="0" fillId="0" borderId="0" xfId="0" applyNumberFormat="1"/>
    <xf numFmtId="16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2" fillId="2" borderId="0" xfId="0" applyFont="1" applyFill="1"/>
    <xf numFmtId="0" fontId="1" fillId="4" borderId="0" xfId="0" applyFont="1" applyFill="1"/>
    <xf numFmtId="0" fontId="3" fillId="2" borderId="0" xfId="0" applyFont="1" applyFill="1"/>
  </cellXfs>
  <cellStyles count="1">
    <cellStyle name="Normal" xfId="0" builtinId="0"/>
  </cellStyles>
  <dxfs count="26">
    <dxf>
      <alignment wrapText="1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numFmt numFmtId="1" formatCode="0"/>
      <alignment wrapText="1"/>
    </dxf>
    <dxf>
      <alignment wrapText="1"/>
    </dxf>
    <dxf>
      <numFmt numFmtId="21" formatCode="d\-mmm"/>
      <alignment wrapText="1"/>
    </dxf>
    <dxf>
      <alignment wrapText="1"/>
    </dxf>
    <dxf>
      <alignment wrapText="1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9F6BB3-9A2E-44D4-9DD2-6F7552867CB2}" name="tblLevels" displayName="tblLevels" ref="A1:I13" totalsRowShown="0">
  <autoFilter ref="A1:I13" xr:uid="{DA9F6BB3-9A2E-44D4-9DD2-6F7552867CB2}"/>
  <tableColumns count="9">
    <tableColumn id="1" xr3:uid="{70796C59-6A00-4276-9BEF-83F062B2DC26}" name="Level_ID" dataDxfId="18"/>
    <tableColumn id="2" xr3:uid="{F13FCB78-007C-42E9-9B7A-ED761CB1F856}" name="Level_Name_EN"/>
    <tableColumn id="3" xr3:uid="{4FA32F2B-DBB7-440B-B569-E059BE8AB52E}" name="Level_Name_ES"/>
    <tableColumn id="4" xr3:uid="{B736A2D8-4419-4A2D-B922-23957B8AF5D7}" name="CEFR"/>
    <tableColumn id="5" xr3:uid="{B6ED647F-40D0-4136-B3C6-BC725E461E02}" name="Grammar_Focus" dataDxfId="17"/>
    <tableColumn id="6" xr3:uid="{5636AFB3-C5F8-4153-A2F2-EBF08837A217}" name="Unlocked_Structures" dataDxfId="16"/>
    <tableColumn id="7" xr3:uid="{6335CD9D-78CC-413A-AAC5-7D7F8FE6FEF3}" name="Target_Tokens" dataDxfId="15"/>
    <tableColumn id="8" xr3:uid="{D77858DD-89EA-4A50-9F19-48D8C205F38C}" name="Notes_ES" dataDxfId="14"/>
    <tableColumn id="9" xr3:uid="{7F7A14BE-6398-4A16-8246-22ED9C45B436}" name="Challenge_Count" dataDxfId="13">
      <calculatedColumnFormula>COUNTIF(tblChallenges[Level_ID],A2)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7F2DCA-3CEB-402D-A2A2-F0647C3B07BC}" name="tblWords" displayName="tblWords" ref="A1:L245" totalsRowShown="0">
  <autoFilter ref="A1:L245" xr:uid="{067F2DCA-3CEB-402D-A2A2-F0647C3B07BC}"/>
  <tableColumns count="12">
    <tableColumn id="1" xr3:uid="{F620783F-A6D0-4ADA-BBF5-23F68C7FC19F}" name="Word_ID"/>
    <tableColumn id="2" xr3:uid="{1E13E0C0-7DDB-419C-9CBE-AE19B3F3E21E}" name="English"/>
    <tableColumn id="3" xr3:uid="{E48F8C95-8558-4F02-979A-BF59CDC4397F}" name="Spanish"/>
    <tableColumn id="4" xr3:uid="{7A4BF3DD-1180-4E84-9FBA-1A20CCB752E7}" name="POS"/>
    <tableColumn id="5" xr3:uid="{ACA2BD80-47D5-4766-B534-7EA70CFDCECC}" name="Subtype"/>
    <tableColumn id="6" xr3:uid="{BD1EB08F-8EA5-4E21-A97F-4FA534DE4E69}" name="Countability"/>
    <tableColumn id="7" xr3:uid="{1C3967AC-E273-44BF-80DB-3DF90678FA90}" name="Animacy"/>
    <tableColumn id="8" xr3:uid="{1ECFDE73-4021-4E1E-AB69-186B32D78514}" name="Verb_Class"/>
    <tableColumn id="9" xr3:uid="{C0B89C52-6275-4E2F-99D4-CF36E863FBCF}" name="CEFR"/>
    <tableColumn id="10" xr3:uid="{8BF6FACB-99D7-416A-8700-9D335D0B5EF3}" name="Level_Min" dataDxfId="12"/>
    <tableColumn id="11" xr3:uid="{63564F87-1B96-4178-A4C8-A44A067C635C}" name="Tags"/>
    <tableColumn id="12" xr3:uid="{040428CA-F532-4840-9DC9-759524BE3BDE}" name="Ac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24D776-9797-4B7B-B178-7271094F7E78}" name="tblVerbForms" displayName="tblVerbForms" ref="A1:K41" totalsRowShown="0">
  <autoFilter ref="A1:K41" xr:uid="{DA24D776-9797-4B7B-B178-7271094F7E78}"/>
  <tableColumns count="11">
    <tableColumn id="1" xr3:uid="{D611C4F7-0D48-4D56-B33E-223BA0676EF1}" name="Base"/>
    <tableColumn id="2" xr3:uid="{F5760620-DA85-4B07-BE7C-1424CFC2DBE5}" name="Third_Person"/>
    <tableColumn id="3" xr3:uid="{39000DB4-A00F-401E-8050-0DFD41975B57}" name="Past"/>
    <tableColumn id="4" xr3:uid="{4F38AFAB-7590-4509-9EA4-2A984E3AA4DE}" name="Past_Participle"/>
    <tableColumn id="5" xr3:uid="{548AA2AB-91A1-43F4-8F43-42FADCB9BA74}" name="ING"/>
    <tableColumn id="6" xr3:uid="{56E1E93A-EF50-481D-88FA-B3B103E9D23F}" name="Spanish" dataDxfId="11"/>
    <tableColumn id="7" xr3:uid="{2D3B6096-5A44-49A8-AC3C-E9EA13D8F520}" name="Verb_Class" dataDxfId="10"/>
    <tableColumn id="8" xr3:uid="{14749FB1-EE0F-4466-A70C-C7400C9972C5}" name="Allows_IOBJ" dataDxfId="9"/>
    <tableColumn id="9" xr3:uid="{37564C35-B569-4F1D-A4F8-CEDB76382D6B}" name="Complement_Type" dataDxfId="8"/>
    <tableColumn id="10" xr3:uid="{A1C44864-597F-4A0C-9D76-4F2F8223DFF1}" name="Irregular"/>
    <tableColumn id="11" xr3:uid="{036CC72C-D411-48DD-90AC-B55F8C9B2B10}" name="Level_M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959C5C-A8CD-496D-807A-E6A38352E367}" name="tblPatterns" displayName="tblPatterns" ref="A1:J60" totalsRowShown="0">
  <autoFilter ref="A1:J60" xr:uid="{1D959C5C-A8CD-496D-807A-E6A38352E367}"/>
  <tableColumns count="10">
    <tableColumn id="1" xr3:uid="{D2BB8E06-93A5-4C7D-A46F-D8AEB3535B96}" name="Pattern_ID"/>
    <tableColumn id="2" xr3:uid="{C573670F-0698-4E93-9DEE-4256B937A0E8}" name="Domain"/>
    <tableColumn id="3" xr3:uid="{349BE891-D51C-42F9-8CFA-86C20D77454F}" name="Family"/>
    <tableColumn id="4" xr3:uid="{955B686D-EE88-47F3-8DB6-A9ABB5E8CEA5}" name="Pattern_Name" dataDxfId="7"/>
    <tableColumn id="5" xr3:uid="{645ACC32-5AE9-4B47-AD9A-2EC7E1CB50EA}" name="Template" dataDxfId="6"/>
    <tableColumn id="6" xr3:uid="{1619FBA4-A2C7-45EC-B91B-EF67EA446279}" name="Spanish_Guide" dataDxfId="5"/>
    <tableColumn id="7" xr3:uid="{24ED7B11-0766-4363-AFCD-57359DEBD03D}" name="Min_Level" dataDxfId="4"/>
    <tableColumn id="8" xr3:uid="{9BDF80DA-1597-4AE4-9839-B40901EB6503}" name="Max_Tokens" dataDxfId="3"/>
    <tableColumn id="9" xr3:uid="{AA75D6A0-E4A3-4B6B-A212-924C15EE193D}" name="Recursive"/>
    <tableColumn id="10" xr3:uid="{F53E8B95-674A-4A1B-B3A8-5833C3871EA1}" name="Example_E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39A432-168C-470B-8E47-8A079E9373FB}" name="tblPatternSlots" displayName="tblPatternSlots" ref="A1:H171" totalsRowShown="0">
  <autoFilter ref="A1:H171" xr:uid="{4139A432-168C-470B-8E47-8A079E9373FB}"/>
  <tableColumns count="8">
    <tableColumn id="1" xr3:uid="{2FEF1B59-979B-47C2-A36D-DE7871F4D97D}" name="Pattern_ID"/>
    <tableColumn id="2" xr3:uid="{AB703BD8-D080-4662-B4CE-45316F4ADBB2}" name="Slot_Order" dataDxfId="2"/>
    <tableColumn id="3" xr3:uid="{65D67881-1777-42B2-BCF1-E2DD966FA943}" name="Slot_Code"/>
    <tableColumn id="4" xr3:uid="{0F5BFDC8-FF85-4496-968A-0AB8E22348F3}" name="Required"/>
    <tableColumn id="5" xr3:uid="{A545C08F-C5C0-4044-A641-351C31F21F9E}" name="Allowed_POS"/>
    <tableColumn id="6" xr3:uid="{136D4BB6-9AD5-42FF-9E22-2E833A9930B9}" name="Allowed_Subtype"/>
    <tableColumn id="7" xr3:uid="{09D6A6E4-528D-41ED-92B5-B2CDDC68F414}" name="Agreement_Rule" dataDxfId="1"/>
    <tableColumn id="8" xr3:uid="{140FF292-17D0-45C0-99AB-CD59925D850B}" name="Notes_ES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AEC53B-E1D2-486D-A43D-94A51B1D4565}" name="tblChallenges" displayName="tblChallenges" ref="A1:M73" totalsRowShown="0">
  <autoFilter ref="A1:M73" xr:uid="{D5AEC53B-E1D2-486D-A43D-94A51B1D4565}"/>
  <tableColumns count="13">
    <tableColumn id="1" xr3:uid="{82B1CB43-0AF7-410E-A81E-8CCBF6BEBE32}" name="Challenge_ID"/>
    <tableColumn id="2" xr3:uid="{C4B4AD2D-2BD1-44A6-9F37-F0E939BB2E2D}" name="Level_ID" dataDxfId="25"/>
    <tableColumn id="3" xr3:uid="{F5C11372-B436-4255-942C-0FFE0B4F552B}" name="Pattern_ID"/>
    <tableColumn id="4" xr3:uid="{A7501786-3E9A-4BBA-BC2B-75D56CC57F8A}" name="Prompt_ES" dataDxfId="24"/>
    <tableColumn id="5" xr3:uid="{5ED29EFB-D24B-4BC2-B9FC-A911D5F87666}" name="Correct_EN" dataDxfId="23"/>
    <tableColumn id="6" xr3:uid="{CF772837-781A-4D09-A7E6-B6DE0C8E8EFF}" name="Shuffled_Tokens" dataDxfId="22"/>
    <tableColumn id="7" xr3:uid="{7E012CC9-26CB-46EF-87E1-F80F98F3A451}" name="Accept_Alt_EN" dataDxfId="21"/>
    <tableColumn id="8" xr3:uid="{EE4E0FA3-EC1B-42B9-B839-00C3D6D776D7}" name="Explanation_ES" dataDxfId="20"/>
    <tableColumn id="9" xr3:uid="{EDE85F85-A293-411F-932A-3ADDD79212D1}" name="Skill_Tag"/>
    <tableColumn id="10" xr3:uid="{4F3DDB33-05E3-490B-A4FD-66E0EB5D1A98}" name="Difficulty"/>
    <tableColumn id="11" xr3:uid="{9CA2F55D-33D7-4951-A8D1-E02D8445A3F1}" name="Active"/>
    <tableColumn id="12" xr3:uid="{DCB5816D-687D-4639-87CD-1839EDAD5661}" name="Source_Type"/>
    <tableColumn id="13" xr3:uid="{56B46537-24FA-46C8-9BE8-D611694CCFE7}" name="Token_Count" dataDxfId="19">
      <calculatedColumnFormula>IF(F2="",0,LEN(F2)-LEN(SUBSTITUTE(F2,"|",""))+1)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154DA1-5B56-4F67-B162-D5C5BDDED183}" name="along" displayName="along" ref="O1:Y8" totalsRowShown="0">
  <autoFilter ref="O1:Y8" xr:uid="{01154DA1-5B56-4F67-B162-D5C5BDDED183}"/>
  <tableColumns count="11">
    <tableColumn id="1" xr3:uid="{0172DDAA-5CBA-4574-B89F-E2037AB313E0}" name="exercise"/>
    <tableColumn id="2" xr3:uid="{C711AEBB-664F-466A-9092-F5C5C3790E89}" name="slot 1"/>
    <tableColumn id="3" xr3:uid="{E092BAFE-9499-4A83-A573-6DB9F2F8CBFF}" name="slot 2"/>
    <tableColumn id="4" xr3:uid="{866681D9-829E-43FE-BCDA-4D321FF81133}" name="slot 3"/>
    <tableColumn id="5" xr3:uid="{700EF1B8-F141-4343-BBEB-3FA3EC74F236}" name="slot 4"/>
    <tableColumn id="6" xr3:uid="{90A407FE-9721-4281-88F6-65E57BE9B17F}" name="slot 5"/>
    <tableColumn id="7" xr3:uid="{37993B08-3D74-4CE8-AB2E-41E308CD2F11}" name="slot 6"/>
    <tableColumn id="8" xr3:uid="{8541F9BB-F0C7-4598-87D5-29D3CBA0F9C5}" name="slot 7"/>
    <tableColumn id="9" xr3:uid="{7AC01111-BF47-46CB-8839-ACFDC4502D7A}" name="slot 8"/>
    <tableColumn id="10" xr3:uid="{7AAE139E-633A-4E94-8773-ACD6B66CD644}" name="slot 9"/>
    <tableColumn id="11" xr3:uid="{E26678E9-7D36-4356-9834-871B351BC6EB}" name="spanish promp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D751-7424-414A-8D9D-537615EBDB90}">
  <sheetPr>
    <tabColor rgb="FF16324F"/>
  </sheetPr>
  <dimension ref="A1:E14"/>
  <sheetViews>
    <sheetView zoomScale="64" workbookViewId="0">
      <selection sqref="A1:B1"/>
    </sheetView>
  </sheetViews>
  <sheetFormatPr defaultRowHeight="14.4" x14ac:dyDescent="0.3"/>
  <cols>
    <col min="1" max="1" width="24.109375" customWidth="1"/>
    <col min="2" max="2" width="81.44140625" customWidth="1"/>
    <col min="4" max="4" width="27.77734375" customWidth="1"/>
    <col min="5" max="5" width="16.6640625" customWidth="1"/>
  </cols>
  <sheetData>
    <row r="1" spans="1:5" ht="23.4" x14ac:dyDescent="0.45">
      <c r="A1" s="10" t="s">
        <v>0</v>
      </c>
      <c r="B1" s="10"/>
      <c r="D1" s="8" t="s">
        <v>1820</v>
      </c>
      <c r="E1" s="8" t="s">
        <v>1821</v>
      </c>
    </row>
    <row r="2" spans="1:5" ht="28.8" x14ac:dyDescent="0.3">
      <c r="A2" s="2" t="s">
        <v>1</v>
      </c>
      <c r="B2" s="3" t="s">
        <v>2</v>
      </c>
      <c r="D2" s="9" t="s">
        <v>1822</v>
      </c>
      <c r="E2" s="5">
        <f>ROWS(tblLevels[Level_ID])</f>
        <v>12</v>
      </c>
    </row>
    <row r="3" spans="1:5" ht="28.8" x14ac:dyDescent="0.3">
      <c r="A3" s="2" t="s">
        <v>3</v>
      </c>
      <c r="B3" s="3" t="s">
        <v>4</v>
      </c>
      <c r="D3" s="9" t="s">
        <v>1823</v>
      </c>
      <c r="E3" s="5">
        <f>ROWS(tblWords[Word_ID])</f>
        <v>244</v>
      </c>
    </row>
    <row r="4" spans="1:5" x14ac:dyDescent="0.3">
      <c r="A4" s="2" t="s">
        <v>5</v>
      </c>
      <c r="B4" s="3" t="s">
        <v>6</v>
      </c>
      <c r="D4" s="9" t="s">
        <v>1824</v>
      </c>
      <c r="E4" s="5">
        <f>ROWS(tblVerbForms[Base])</f>
        <v>40</v>
      </c>
    </row>
    <row r="5" spans="1:5" ht="28.8" x14ac:dyDescent="0.3">
      <c r="A5" s="2" t="s">
        <v>7</v>
      </c>
      <c r="B5" s="3" t="s">
        <v>8</v>
      </c>
      <c r="D5" s="9" t="s">
        <v>1825</v>
      </c>
      <c r="E5" s="5">
        <f>ROWS(tblPatterns[Pattern_ID])</f>
        <v>59</v>
      </c>
    </row>
    <row r="6" spans="1:5" x14ac:dyDescent="0.3">
      <c r="A6" s="1" t="s">
        <v>9</v>
      </c>
      <c r="B6" s="4" t="s">
        <v>10</v>
      </c>
      <c r="D6" s="9" t="s">
        <v>1826</v>
      </c>
      <c r="E6" s="5">
        <f>ROWS(tblPatternSlots[Pattern_ID])</f>
        <v>170</v>
      </c>
    </row>
    <row r="7" spans="1:5" x14ac:dyDescent="0.3">
      <c r="A7" s="2" t="s">
        <v>11</v>
      </c>
      <c r="B7" s="3" t="s">
        <v>12</v>
      </c>
      <c r="D7" s="9" t="s">
        <v>1827</v>
      </c>
      <c r="E7" s="5">
        <f>ROWS(tblChallenges[Challenge_ID])</f>
        <v>72</v>
      </c>
    </row>
    <row r="8" spans="1:5" x14ac:dyDescent="0.3">
      <c r="A8" s="2" t="s">
        <v>13</v>
      </c>
      <c r="B8" s="3" t="s">
        <v>14</v>
      </c>
      <c r="D8" s="9" t="s">
        <v>1828</v>
      </c>
      <c r="E8" s="5">
        <f>COUNTIF(tblChallenges[Active],"Y")</f>
        <v>72</v>
      </c>
    </row>
    <row r="9" spans="1:5" x14ac:dyDescent="0.3">
      <c r="A9" s="2" t="s">
        <v>15</v>
      </c>
      <c r="B9" s="3" t="s">
        <v>16</v>
      </c>
      <c r="D9" s="9" t="s">
        <v>1829</v>
      </c>
      <c r="E9" s="5">
        <f>MAX(tblChallenges[Level_ID])</f>
        <v>12</v>
      </c>
    </row>
    <row r="10" spans="1:5" x14ac:dyDescent="0.3">
      <c r="A10" s="2" t="s">
        <v>17</v>
      </c>
      <c r="B10" s="3" t="s">
        <v>18</v>
      </c>
    </row>
    <row r="11" spans="1:5" x14ac:dyDescent="0.3">
      <c r="A11" s="2" t="s">
        <v>19</v>
      </c>
      <c r="B11" s="3" t="s">
        <v>20</v>
      </c>
    </row>
    <row r="12" spans="1:5" x14ac:dyDescent="0.3">
      <c r="A12" s="2" t="s">
        <v>21</v>
      </c>
      <c r="B12" s="3" t="s">
        <v>22</v>
      </c>
    </row>
    <row r="13" spans="1:5" ht="28.8" x14ac:dyDescent="0.3">
      <c r="A13" s="2" t="s">
        <v>23</v>
      </c>
      <c r="B13" s="3" t="s">
        <v>24</v>
      </c>
    </row>
    <row r="14" spans="1:5" x14ac:dyDescent="0.3">
      <c r="A14" t="s">
        <v>25</v>
      </c>
      <c r="B14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9D98-0FA4-4D91-9B4B-3CF081EBBA60}">
  <sheetPr>
    <tabColor rgb="FF2E75B6"/>
  </sheetPr>
  <dimension ref="A1:I13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10.109375" style="5" bestFit="1" customWidth="1"/>
    <col min="2" max="2" width="20.77734375" bestFit="1" customWidth="1"/>
    <col min="3" max="3" width="22.6640625" bestFit="1" customWidth="1"/>
    <col min="4" max="4" width="7.5546875" bestFit="1" customWidth="1"/>
    <col min="5" max="5" width="26.88671875" style="3" customWidth="1"/>
    <col min="6" max="6" width="40.77734375" style="3" customWidth="1"/>
    <col min="7" max="7" width="14.88671875" style="3" bestFit="1" customWidth="1"/>
    <col min="8" max="8" width="44.44140625" style="3" customWidth="1"/>
  </cols>
  <sheetData>
    <row r="1" spans="1:9" x14ac:dyDescent="0.3">
      <c r="A1" s="5" t="s">
        <v>27</v>
      </c>
      <c r="B1" t="s">
        <v>28</v>
      </c>
      <c r="C1" t="s">
        <v>29</v>
      </c>
      <c r="D1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t="s">
        <v>1819</v>
      </c>
    </row>
    <row r="2" spans="1:9" ht="28.8" x14ac:dyDescent="0.3">
      <c r="A2" s="5">
        <v>1</v>
      </c>
      <c r="B2" t="s">
        <v>35</v>
      </c>
      <c r="C2" t="s">
        <v>36</v>
      </c>
      <c r="D2" t="s">
        <v>37</v>
      </c>
      <c r="E2" s="3" t="s">
        <v>38</v>
      </c>
      <c r="F2" s="3" t="s">
        <v>39</v>
      </c>
      <c r="G2" s="6">
        <v>46025</v>
      </c>
      <c r="H2" s="3" t="s">
        <v>40</v>
      </c>
      <c r="I2" s="7">
        <f>COUNTIF(tblChallenges[Level_ID],A2)</f>
        <v>6</v>
      </c>
    </row>
    <row r="3" spans="1:9" x14ac:dyDescent="0.3">
      <c r="A3" s="5">
        <v>2</v>
      </c>
      <c r="B3" t="s">
        <v>41</v>
      </c>
      <c r="C3" t="s">
        <v>42</v>
      </c>
      <c r="D3" t="s">
        <v>37</v>
      </c>
      <c r="E3" s="3" t="s">
        <v>43</v>
      </c>
      <c r="F3" s="3" t="s">
        <v>44</v>
      </c>
      <c r="G3" s="6">
        <v>46086</v>
      </c>
      <c r="H3" s="3" t="s">
        <v>45</v>
      </c>
      <c r="I3" s="7">
        <f>COUNTIF(tblChallenges[Level_ID],A3)</f>
        <v>6</v>
      </c>
    </row>
    <row r="4" spans="1:9" ht="28.8" x14ac:dyDescent="0.3">
      <c r="A4" s="5">
        <v>3</v>
      </c>
      <c r="B4" t="s">
        <v>46</v>
      </c>
      <c r="C4" t="s">
        <v>47</v>
      </c>
      <c r="D4" t="s">
        <v>37</v>
      </c>
      <c r="E4" s="3" t="s">
        <v>48</v>
      </c>
      <c r="F4" s="3" t="s">
        <v>49</v>
      </c>
      <c r="G4" s="6">
        <v>46059</v>
      </c>
      <c r="H4" s="3" t="s">
        <v>50</v>
      </c>
      <c r="I4" s="7">
        <f>COUNTIF(tblChallenges[Level_ID],A4)</f>
        <v>6</v>
      </c>
    </row>
    <row r="5" spans="1:9" ht="28.8" x14ac:dyDescent="0.3">
      <c r="A5" s="5">
        <v>4</v>
      </c>
      <c r="B5" t="s">
        <v>51</v>
      </c>
      <c r="C5" t="s">
        <v>52</v>
      </c>
      <c r="D5" t="s">
        <v>53</v>
      </c>
      <c r="E5" s="3" t="s">
        <v>54</v>
      </c>
      <c r="F5" s="3" t="s">
        <v>55</v>
      </c>
      <c r="G5" s="6">
        <v>46120</v>
      </c>
      <c r="H5" s="3" t="s">
        <v>56</v>
      </c>
      <c r="I5" s="7">
        <f>COUNTIF(tblChallenges[Level_ID],A5)</f>
        <v>6</v>
      </c>
    </row>
    <row r="6" spans="1:9" x14ac:dyDescent="0.3">
      <c r="A6" s="5">
        <v>5</v>
      </c>
      <c r="B6" t="s">
        <v>57</v>
      </c>
      <c r="C6" t="s">
        <v>58</v>
      </c>
      <c r="D6" t="s">
        <v>53</v>
      </c>
      <c r="E6" s="3" t="s">
        <v>59</v>
      </c>
      <c r="F6" s="3" t="s">
        <v>60</v>
      </c>
      <c r="G6" s="6">
        <v>46151</v>
      </c>
      <c r="H6" s="3" t="s">
        <v>61</v>
      </c>
      <c r="I6" s="7">
        <f>COUNTIF(tblChallenges[Level_ID],A6)</f>
        <v>6</v>
      </c>
    </row>
    <row r="7" spans="1:9" ht="28.8" x14ac:dyDescent="0.3">
      <c r="A7" s="5">
        <v>6</v>
      </c>
      <c r="B7" t="s">
        <v>62</v>
      </c>
      <c r="C7" t="s">
        <v>63</v>
      </c>
      <c r="D7" t="s">
        <v>53</v>
      </c>
      <c r="E7" s="3" t="s">
        <v>64</v>
      </c>
      <c r="F7" s="3" t="s">
        <v>65</v>
      </c>
      <c r="G7" s="6">
        <v>46122</v>
      </c>
      <c r="H7" s="3" t="s">
        <v>66</v>
      </c>
      <c r="I7" s="7">
        <f>COUNTIF(tblChallenges[Level_ID],A7)</f>
        <v>6</v>
      </c>
    </row>
    <row r="8" spans="1:9" ht="28.8" x14ac:dyDescent="0.3">
      <c r="A8" s="5">
        <v>7</v>
      </c>
      <c r="B8" t="s">
        <v>67</v>
      </c>
      <c r="C8" t="s">
        <v>68</v>
      </c>
      <c r="D8" t="s">
        <v>69</v>
      </c>
      <c r="E8" s="3" t="s">
        <v>70</v>
      </c>
      <c r="F8" s="3" t="s">
        <v>71</v>
      </c>
      <c r="G8" s="6">
        <v>46154</v>
      </c>
      <c r="H8" s="3" t="s">
        <v>72</v>
      </c>
      <c r="I8" s="7">
        <f>COUNTIF(tblChallenges[Level_ID],A8)</f>
        <v>6</v>
      </c>
    </row>
    <row r="9" spans="1:9" ht="28.8" x14ac:dyDescent="0.3">
      <c r="A9" s="5">
        <v>8</v>
      </c>
      <c r="B9" t="s">
        <v>73</v>
      </c>
      <c r="C9" t="s">
        <v>74</v>
      </c>
      <c r="D9" t="s">
        <v>69</v>
      </c>
      <c r="E9" s="3" t="s">
        <v>75</v>
      </c>
      <c r="F9" s="3" t="s">
        <v>76</v>
      </c>
      <c r="G9" s="6">
        <v>46187</v>
      </c>
      <c r="H9" s="3" t="s">
        <v>77</v>
      </c>
      <c r="I9" s="7">
        <f>COUNTIF(tblChallenges[Level_ID],A9)</f>
        <v>6</v>
      </c>
    </row>
    <row r="10" spans="1:9" ht="28.8" x14ac:dyDescent="0.3">
      <c r="A10" s="5">
        <v>9</v>
      </c>
      <c r="B10" t="s">
        <v>78</v>
      </c>
      <c r="C10" t="s">
        <v>79</v>
      </c>
      <c r="D10" t="s">
        <v>69</v>
      </c>
      <c r="E10" s="3" t="s">
        <v>80</v>
      </c>
      <c r="F10" s="3" t="s">
        <v>81</v>
      </c>
      <c r="G10" s="6">
        <v>46218</v>
      </c>
      <c r="H10" s="3" t="s">
        <v>82</v>
      </c>
      <c r="I10" s="7">
        <f>COUNTIF(tblChallenges[Level_ID],A10)</f>
        <v>6</v>
      </c>
    </row>
    <row r="11" spans="1:9" x14ac:dyDescent="0.3">
      <c r="A11" s="5">
        <v>10</v>
      </c>
      <c r="B11" t="s">
        <v>83</v>
      </c>
      <c r="C11" t="s">
        <v>84</v>
      </c>
      <c r="D11" t="s">
        <v>69</v>
      </c>
      <c r="E11" s="3" t="s">
        <v>85</v>
      </c>
      <c r="F11" s="3" t="s">
        <v>86</v>
      </c>
      <c r="G11" s="6">
        <v>46156</v>
      </c>
      <c r="H11" s="3" t="s">
        <v>87</v>
      </c>
      <c r="I11" s="7">
        <f>COUNTIF(tblChallenges[Level_ID],A11)</f>
        <v>6</v>
      </c>
    </row>
    <row r="12" spans="1:9" ht="28.8" x14ac:dyDescent="0.3">
      <c r="A12" s="5">
        <v>11</v>
      </c>
      <c r="B12" t="s">
        <v>88</v>
      </c>
      <c r="C12" t="s">
        <v>89</v>
      </c>
      <c r="D12" t="s">
        <v>90</v>
      </c>
      <c r="E12" s="3" t="s">
        <v>91</v>
      </c>
      <c r="F12" s="3" t="s">
        <v>92</v>
      </c>
      <c r="G12" s="6">
        <v>46315</v>
      </c>
      <c r="H12" s="3" t="s">
        <v>93</v>
      </c>
      <c r="I12" s="7">
        <f>COUNTIF(tblChallenges[Level_ID],A12)</f>
        <v>6</v>
      </c>
    </row>
    <row r="13" spans="1:9" ht="28.8" x14ac:dyDescent="0.3">
      <c r="A13" s="5">
        <v>12</v>
      </c>
      <c r="B13" t="s">
        <v>94</v>
      </c>
      <c r="C13" t="s">
        <v>95</v>
      </c>
      <c r="D13" t="s">
        <v>90</v>
      </c>
      <c r="E13" s="3" t="s">
        <v>96</v>
      </c>
      <c r="F13" s="3" t="s">
        <v>97</v>
      </c>
      <c r="G13" s="6">
        <v>46380</v>
      </c>
      <c r="H13" s="3" t="s">
        <v>98</v>
      </c>
      <c r="I13" s="7">
        <f>COUNTIF(tblChallenges[Level_ID],A13)</f>
        <v>6</v>
      </c>
    </row>
  </sheetData>
  <conditionalFormatting sqref="I2:I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{123E28F3-1D24-4161-86EB-1CB3A065204D}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3E28F3-1D24-4161-86EB-1CB3A065204D}">
            <x14:dataBar minLength="0" maxLength="100" negativeBarColorSameAsPositive="1" axisPosition="none">
              <x14:cfvo type="min"/>
              <x14:cfvo type="max"/>
            </x14:dataBar>
          </x14:cfRule>
          <xm:sqref>I2:I13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3C02-69DC-4391-9FED-511C772C2BCD}">
  <sheetPr>
    <tabColor rgb="FF3E8E7E"/>
  </sheetPr>
  <dimension ref="A1:L245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10.21875" bestFit="1" customWidth="1"/>
    <col min="2" max="4" width="22.21875" customWidth="1"/>
    <col min="5" max="5" width="14.33203125" bestFit="1" customWidth="1"/>
    <col min="6" max="6" width="13.44140625" bestFit="1" customWidth="1"/>
    <col min="7" max="7" width="10.44140625" bestFit="1" customWidth="1"/>
    <col min="8" max="8" width="12.44140625" bestFit="1" customWidth="1"/>
    <col min="9" max="9" width="7.5546875" bestFit="1" customWidth="1"/>
    <col min="10" max="10" width="11.33203125" bestFit="1" customWidth="1"/>
    <col min="11" max="11" width="24.109375" customWidth="1"/>
    <col min="12" max="12" width="8.44140625" bestFit="1" customWidth="1"/>
  </cols>
  <sheetData>
    <row r="1" spans="1:12" x14ac:dyDescent="0.3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30</v>
      </c>
      <c r="J1" t="s">
        <v>107</v>
      </c>
      <c r="K1" t="s">
        <v>108</v>
      </c>
      <c r="L1" t="s">
        <v>109</v>
      </c>
    </row>
    <row r="2" spans="1:12" x14ac:dyDescent="0.3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G2" t="s">
        <v>115</v>
      </c>
      <c r="I2" t="s">
        <v>37</v>
      </c>
      <c r="J2" s="5">
        <v>1</v>
      </c>
      <c r="L2" t="s">
        <v>116</v>
      </c>
    </row>
    <row r="3" spans="1:12" x14ac:dyDescent="0.3">
      <c r="A3" t="s">
        <v>117</v>
      </c>
      <c r="B3" t="s">
        <v>118</v>
      </c>
      <c r="C3" t="s">
        <v>119</v>
      </c>
      <c r="D3" t="s">
        <v>113</v>
      </c>
      <c r="E3" t="s">
        <v>120</v>
      </c>
      <c r="G3" t="s">
        <v>115</v>
      </c>
      <c r="I3" t="s">
        <v>37</v>
      </c>
      <c r="J3" s="5">
        <v>1</v>
      </c>
      <c r="L3" t="s">
        <v>116</v>
      </c>
    </row>
    <row r="4" spans="1:12" x14ac:dyDescent="0.3">
      <c r="A4" t="s">
        <v>121</v>
      </c>
      <c r="B4" t="s">
        <v>122</v>
      </c>
      <c r="C4" t="s">
        <v>123</v>
      </c>
      <c r="D4" t="s">
        <v>113</v>
      </c>
      <c r="E4" t="s">
        <v>114</v>
      </c>
      <c r="G4" t="s">
        <v>115</v>
      </c>
      <c r="I4" t="s">
        <v>37</v>
      </c>
      <c r="J4" s="5">
        <v>1</v>
      </c>
      <c r="L4" t="s">
        <v>116</v>
      </c>
    </row>
    <row r="5" spans="1:12" x14ac:dyDescent="0.3">
      <c r="A5" t="s">
        <v>124</v>
      </c>
      <c r="B5" t="s">
        <v>125</v>
      </c>
      <c r="C5" t="s">
        <v>126</v>
      </c>
      <c r="D5" t="s">
        <v>113</v>
      </c>
      <c r="E5" t="s">
        <v>114</v>
      </c>
      <c r="G5" t="s">
        <v>115</v>
      </c>
      <c r="I5" t="s">
        <v>37</v>
      </c>
      <c r="J5" s="5">
        <v>1</v>
      </c>
      <c r="L5" t="s">
        <v>116</v>
      </c>
    </row>
    <row r="6" spans="1:12" x14ac:dyDescent="0.3">
      <c r="A6" t="s">
        <v>127</v>
      </c>
      <c r="B6" t="s">
        <v>128</v>
      </c>
      <c r="C6" t="s">
        <v>129</v>
      </c>
      <c r="D6" t="s">
        <v>113</v>
      </c>
      <c r="E6" t="s">
        <v>120</v>
      </c>
      <c r="G6" t="s">
        <v>130</v>
      </c>
      <c r="I6" t="s">
        <v>37</v>
      </c>
      <c r="J6" s="5">
        <v>1</v>
      </c>
      <c r="L6" t="s">
        <v>116</v>
      </c>
    </row>
    <row r="7" spans="1:12" x14ac:dyDescent="0.3">
      <c r="A7" t="s">
        <v>131</v>
      </c>
      <c r="B7" t="s">
        <v>132</v>
      </c>
      <c r="C7" t="s">
        <v>133</v>
      </c>
      <c r="D7" t="s">
        <v>113</v>
      </c>
      <c r="E7" t="s">
        <v>114</v>
      </c>
      <c r="G7" t="s">
        <v>115</v>
      </c>
      <c r="I7" t="s">
        <v>37</v>
      </c>
      <c r="J7" s="5">
        <v>1</v>
      </c>
      <c r="L7" t="s">
        <v>116</v>
      </c>
    </row>
    <row r="8" spans="1:12" x14ac:dyDescent="0.3">
      <c r="A8" t="s">
        <v>134</v>
      </c>
      <c r="B8" t="s">
        <v>135</v>
      </c>
      <c r="C8" t="s">
        <v>136</v>
      </c>
      <c r="D8" t="s">
        <v>113</v>
      </c>
      <c r="E8" t="s">
        <v>114</v>
      </c>
      <c r="G8" t="s">
        <v>115</v>
      </c>
      <c r="I8" t="s">
        <v>37</v>
      </c>
      <c r="J8" s="5">
        <v>1</v>
      </c>
      <c r="L8" t="s">
        <v>116</v>
      </c>
    </row>
    <row r="9" spans="1:12" x14ac:dyDescent="0.3">
      <c r="A9" t="s">
        <v>137</v>
      </c>
      <c r="B9" t="s">
        <v>138</v>
      </c>
      <c r="C9" t="s">
        <v>139</v>
      </c>
      <c r="D9" t="s">
        <v>113</v>
      </c>
      <c r="E9" t="s">
        <v>140</v>
      </c>
      <c r="G9" t="s">
        <v>115</v>
      </c>
      <c r="I9" t="s">
        <v>37</v>
      </c>
      <c r="J9" s="5">
        <v>1</v>
      </c>
      <c r="L9" t="s">
        <v>116</v>
      </c>
    </row>
    <row r="10" spans="1:12" x14ac:dyDescent="0.3">
      <c r="A10" t="s">
        <v>141</v>
      </c>
      <c r="B10" t="s">
        <v>142</v>
      </c>
      <c r="C10" t="s">
        <v>143</v>
      </c>
      <c r="D10" t="s">
        <v>113</v>
      </c>
      <c r="E10" t="s">
        <v>140</v>
      </c>
      <c r="G10" t="s">
        <v>115</v>
      </c>
      <c r="I10" t="s">
        <v>37</v>
      </c>
      <c r="J10" s="5">
        <v>1</v>
      </c>
      <c r="L10" t="s">
        <v>116</v>
      </c>
    </row>
    <row r="11" spans="1:12" x14ac:dyDescent="0.3">
      <c r="A11" t="s">
        <v>144</v>
      </c>
      <c r="B11" t="s">
        <v>145</v>
      </c>
      <c r="C11" t="s">
        <v>146</v>
      </c>
      <c r="D11" t="s">
        <v>113</v>
      </c>
      <c r="E11" t="s">
        <v>140</v>
      </c>
      <c r="G11" t="s">
        <v>115</v>
      </c>
      <c r="I11" t="s">
        <v>37</v>
      </c>
      <c r="J11" s="5">
        <v>1</v>
      </c>
      <c r="L11" t="s">
        <v>116</v>
      </c>
    </row>
    <row r="12" spans="1:12" x14ac:dyDescent="0.3">
      <c r="A12" t="s">
        <v>147</v>
      </c>
      <c r="B12" t="s">
        <v>148</v>
      </c>
      <c r="C12" t="s">
        <v>149</v>
      </c>
      <c r="D12" t="s">
        <v>113</v>
      </c>
      <c r="E12" t="s">
        <v>140</v>
      </c>
      <c r="G12" t="s">
        <v>115</v>
      </c>
      <c r="I12" t="s">
        <v>37</v>
      </c>
      <c r="J12" s="5">
        <v>1</v>
      </c>
      <c r="L12" t="s">
        <v>116</v>
      </c>
    </row>
    <row r="13" spans="1:12" x14ac:dyDescent="0.3">
      <c r="A13" t="s">
        <v>150</v>
      </c>
      <c r="B13" t="s">
        <v>151</v>
      </c>
      <c r="C13" t="s">
        <v>152</v>
      </c>
      <c r="D13" t="s">
        <v>113</v>
      </c>
      <c r="E13" t="s">
        <v>140</v>
      </c>
      <c r="G13" t="s">
        <v>115</v>
      </c>
      <c r="I13" t="s">
        <v>37</v>
      </c>
      <c r="J13" s="5">
        <v>1</v>
      </c>
      <c r="L13" t="s">
        <v>116</v>
      </c>
    </row>
    <row r="14" spans="1:12" x14ac:dyDescent="0.3">
      <c r="A14" t="s">
        <v>153</v>
      </c>
      <c r="B14" t="s">
        <v>154</v>
      </c>
      <c r="C14" t="s">
        <v>155</v>
      </c>
      <c r="D14" t="s">
        <v>113</v>
      </c>
      <c r="E14" t="s">
        <v>156</v>
      </c>
      <c r="G14" t="s">
        <v>115</v>
      </c>
      <c r="I14" t="s">
        <v>37</v>
      </c>
      <c r="J14" s="5">
        <v>1</v>
      </c>
      <c r="L14" t="s">
        <v>116</v>
      </c>
    </row>
    <row r="15" spans="1:12" x14ac:dyDescent="0.3">
      <c r="A15" t="s">
        <v>157</v>
      </c>
      <c r="B15" t="s">
        <v>158</v>
      </c>
      <c r="C15" t="s">
        <v>159</v>
      </c>
      <c r="D15" t="s">
        <v>113</v>
      </c>
      <c r="E15" t="s">
        <v>156</v>
      </c>
      <c r="G15" t="s">
        <v>130</v>
      </c>
      <c r="I15" t="s">
        <v>37</v>
      </c>
      <c r="J15" s="5">
        <v>1</v>
      </c>
      <c r="L15" t="s">
        <v>116</v>
      </c>
    </row>
    <row r="16" spans="1:12" x14ac:dyDescent="0.3">
      <c r="A16" t="s">
        <v>160</v>
      </c>
      <c r="B16" t="s">
        <v>161</v>
      </c>
      <c r="C16" t="s">
        <v>162</v>
      </c>
      <c r="D16" t="s">
        <v>163</v>
      </c>
      <c r="E16" t="s">
        <v>164</v>
      </c>
      <c r="I16" t="s">
        <v>37</v>
      </c>
      <c r="J16" s="5">
        <v>1</v>
      </c>
      <c r="L16" t="s">
        <v>116</v>
      </c>
    </row>
    <row r="17" spans="1:12" x14ac:dyDescent="0.3">
      <c r="A17" t="s">
        <v>165</v>
      </c>
      <c r="B17" t="s">
        <v>166</v>
      </c>
      <c r="C17" t="s">
        <v>162</v>
      </c>
      <c r="D17" t="s">
        <v>163</v>
      </c>
      <c r="E17" t="s">
        <v>164</v>
      </c>
      <c r="I17" t="s">
        <v>37</v>
      </c>
      <c r="J17" s="5">
        <v>1</v>
      </c>
      <c r="L17" t="s">
        <v>116</v>
      </c>
    </row>
    <row r="18" spans="1:12" x14ac:dyDescent="0.3">
      <c r="A18" t="s">
        <v>167</v>
      </c>
      <c r="B18" t="s">
        <v>168</v>
      </c>
      <c r="C18" t="s">
        <v>169</v>
      </c>
      <c r="D18" t="s">
        <v>163</v>
      </c>
      <c r="E18" t="s">
        <v>170</v>
      </c>
      <c r="I18" t="s">
        <v>37</v>
      </c>
      <c r="J18" s="5">
        <v>1</v>
      </c>
      <c r="L18" t="s">
        <v>116</v>
      </c>
    </row>
    <row r="19" spans="1:12" x14ac:dyDescent="0.3">
      <c r="A19" t="s">
        <v>171</v>
      </c>
      <c r="B19" t="s">
        <v>172</v>
      </c>
      <c r="C19" t="s">
        <v>173</v>
      </c>
      <c r="D19" t="s">
        <v>163</v>
      </c>
      <c r="E19" t="s">
        <v>174</v>
      </c>
      <c r="I19" t="s">
        <v>37</v>
      </c>
      <c r="J19" s="5">
        <v>1</v>
      </c>
      <c r="L19" t="s">
        <v>116</v>
      </c>
    </row>
    <row r="20" spans="1:12" x14ac:dyDescent="0.3">
      <c r="A20" t="s">
        <v>175</v>
      </c>
      <c r="B20" t="s">
        <v>176</v>
      </c>
      <c r="C20" t="s">
        <v>177</v>
      </c>
      <c r="D20" t="s">
        <v>163</v>
      </c>
      <c r="E20" t="s">
        <v>174</v>
      </c>
      <c r="I20" t="s">
        <v>37</v>
      </c>
      <c r="J20" s="5">
        <v>1</v>
      </c>
      <c r="L20" t="s">
        <v>116</v>
      </c>
    </row>
    <row r="21" spans="1:12" x14ac:dyDescent="0.3">
      <c r="A21" t="s">
        <v>178</v>
      </c>
      <c r="B21" t="s">
        <v>179</v>
      </c>
      <c r="C21" t="s">
        <v>180</v>
      </c>
      <c r="D21" t="s">
        <v>163</v>
      </c>
      <c r="E21" t="s">
        <v>174</v>
      </c>
      <c r="I21" t="s">
        <v>37</v>
      </c>
      <c r="J21" s="5">
        <v>1</v>
      </c>
      <c r="L21" t="s">
        <v>116</v>
      </c>
    </row>
    <row r="22" spans="1:12" x14ac:dyDescent="0.3">
      <c r="A22" t="s">
        <v>181</v>
      </c>
      <c r="B22" t="s">
        <v>182</v>
      </c>
      <c r="C22" t="s">
        <v>183</v>
      </c>
      <c r="D22" t="s">
        <v>163</v>
      </c>
      <c r="E22" t="s">
        <v>174</v>
      </c>
      <c r="I22" t="s">
        <v>37</v>
      </c>
      <c r="J22" s="5">
        <v>1</v>
      </c>
      <c r="L22" t="s">
        <v>116</v>
      </c>
    </row>
    <row r="23" spans="1:12" x14ac:dyDescent="0.3">
      <c r="A23" t="s">
        <v>184</v>
      </c>
      <c r="B23" t="s">
        <v>185</v>
      </c>
      <c r="C23" t="s">
        <v>186</v>
      </c>
      <c r="D23" t="s">
        <v>163</v>
      </c>
      <c r="E23" t="s">
        <v>187</v>
      </c>
      <c r="I23" t="s">
        <v>37</v>
      </c>
      <c r="J23" s="5">
        <v>1</v>
      </c>
      <c r="L23" t="s">
        <v>116</v>
      </c>
    </row>
    <row r="24" spans="1:12" x14ac:dyDescent="0.3">
      <c r="A24" t="s">
        <v>188</v>
      </c>
      <c r="B24" t="s">
        <v>189</v>
      </c>
      <c r="C24" t="s">
        <v>190</v>
      </c>
      <c r="D24" t="s">
        <v>163</v>
      </c>
      <c r="E24" t="s">
        <v>187</v>
      </c>
      <c r="I24" t="s">
        <v>37</v>
      </c>
      <c r="J24" s="5">
        <v>1</v>
      </c>
      <c r="L24" t="s">
        <v>116</v>
      </c>
    </row>
    <row r="25" spans="1:12" x14ac:dyDescent="0.3">
      <c r="A25" t="s">
        <v>191</v>
      </c>
      <c r="B25" t="s">
        <v>192</v>
      </c>
      <c r="C25" t="s">
        <v>193</v>
      </c>
      <c r="D25" t="s">
        <v>163</v>
      </c>
      <c r="E25" t="s">
        <v>187</v>
      </c>
      <c r="I25" t="s">
        <v>37</v>
      </c>
      <c r="J25" s="5">
        <v>1</v>
      </c>
      <c r="L25" t="s">
        <v>116</v>
      </c>
    </row>
    <row r="26" spans="1:12" x14ac:dyDescent="0.3">
      <c r="A26" t="s">
        <v>194</v>
      </c>
      <c r="B26" t="s">
        <v>145</v>
      </c>
      <c r="C26" t="s">
        <v>195</v>
      </c>
      <c r="D26" t="s">
        <v>163</v>
      </c>
      <c r="E26" t="s">
        <v>187</v>
      </c>
      <c r="I26" t="s">
        <v>37</v>
      </c>
      <c r="J26" s="5">
        <v>1</v>
      </c>
      <c r="L26" t="s">
        <v>116</v>
      </c>
    </row>
    <row r="27" spans="1:12" x14ac:dyDescent="0.3">
      <c r="A27" t="s">
        <v>196</v>
      </c>
      <c r="B27" t="s">
        <v>197</v>
      </c>
      <c r="C27" t="s">
        <v>198</v>
      </c>
      <c r="D27" t="s">
        <v>163</v>
      </c>
      <c r="E27" t="s">
        <v>187</v>
      </c>
      <c r="I27" t="s">
        <v>37</v>
      </c>
      <c r="J27" s="5">
        <v>1</v>
      </c>
      <c r="L27" t="s">
        <v>116</v>
      </c>
    </row>
    <row r="28" spans="1:12" x14ac:dyDescent="0.3">
      <c r="A28" t="s">
        <v>199</v>
      </c>
      <c r="B28" t="s">
        <v>200</v>
      </c>
      <c r="C28" t="s">
        <v>201</v>
      </c>
      <c r="D28" t="s">
        <v>163</v>
      </c>
      <c r="E28" t="s">
        <v>187</v>
      </c>
      <c r="I28" t="s">
        <v>37</v>
      </c>
      <c r="J28" s="5">
        <v>1</v>
      </c>
      <c r="L28" t="s">
        <v>116</v>
      </c>
    </row>
    <row r="29" spans="1:12" x14ac:dyDescent="0.3">
      <c r="A29" t="s">
        <v>202</v>
      </c>
      <c r="B29" t="s">
        <v>203</v>
      </c>
      <c r="C29" t="s">
        <v>204</v>
      </c>
      <c r="D29" t="s">
        <v>163</v>
      </c>
      <c r="E29" t="s">
        <v>205</v>
      </c>
      <c r="I29" t="s">
        <v>37</v>
      </c>
      <c r="J29" s="5">
        <v>1</v>
      </c>
      <c r="L29" t="s">
        <v>116</v>
      </c>
    </row>
    <row r="30" spans="1:12" x14ac:dyDescent="0.3">
      <c r="A30" t="s">
        <v>206</v>
      </c>
      <c r="B30" t="s">
        <v>207</v>
      </c>
      <c r="C30" t="s">
        <v>208</v>
      </c>
      <c r="D30" t="s">
        <v>163</v>
      </c>
      <c r="E30" t="s">
        <v>205</v>
      </c>
      <c r="I30" t="s">
        <v>37</v>
      </c>
      <c r="J30" s="5">
        <v>1</v>
      </c>
      <c r="L30" t="s">
        <v>116</v>
      </c>
    </row>
    <row r="31" spans="1:12" x14ac:dyDescent="0.3">
      <c r="A31" t="s">
        <v>209</v>
      </c>
      <c r="B31" t="s">
        <v>210</v>
      </c>
      <c r="C31" t="s">
        <v>211</v>
      </c>
      <c r="D31" t="s">
        <v>163</v>
      </c>
      <c r="E31" t="s">
        <v>212</v>
      </c>
      <c r="I31" t="s">
        <v>37</v>
      </c>
      <c r="J31" s="5">
        <v>1</v>
      </c>
      <c r="L31" t="s">
        <v>116</v>
      </c>
    </row>
    <row r="32" spans="1:12" x14ac:dyDescent="0.3">
      <c r="A32" t="s">
        <v>213</v>
      </c>
      <c r="B32" t="s">
        <v>214</v>
      </c>
      <c r="C32" t="s">
        <v>215</v>
      </c>
      <c r="D32" t="s">
        <v>163</v>
      </c>
      <c r="E32" t="s">
        <v>212</v>
      </c>
      <c r="I32" t="s">
        <v>37</v>
      </c>
      <c r="J32" s="5">
        <v>1</v>
      </c>
      <c r="L32" t="s">
        <v>116</v>
      </c>
    </row>
    <row r="33" spans="1:12" x14ac:dyDescent="0.3">
      <c r="A33" t="s">
        <v>216</v>
      </c>
      <c r="B33" t="s">
        <v>217</v>
      </c>
      <c r="C33" t="s">
        <v>218</v>
      </c>
      <c r="D33" t="s">
        <v>163</v>
      </c>
      <c r="E33" t="s">
        <v>219</v>
      </c>
      <c r="I33" t="s">
        <v>37</v>
      </c>
      <c r="J33" s="5">
        <v>1</v>
      </c>
      <c r="L33" t="s">
        <v>116</v>
      </c>
    </row>
    <row r="34" spans="1:12" x14ac:dyDescent="0.3">
      <c r="A34" t="s">
        <v>220</v>
      </c>
      <c r="B34" t="s">
        <v>221</v>
      </c>
      <c r="C34" t="s">
        <v>222</v>
      </c>
      <c r="D34" t="s">
        <v>223</v>
      </c>
      <c r="E34" t="s">
        <v>224</v>
      </c>
      <c r="F34" t="s">
        <v>225</v>
      </c>
      <c r="G34" t="s">
        <v>115</v>
      </c>
      <c r="I34" t="s">
        <v>37</v>
      </c>
      <c r="J34" s="5">
        <v>1</v>
      </c>
      <c r="K34" t="s">
        <v>226</v>
      </c>
      <c r="L34" t="s">
        <v>116</v>
      </c>
    </row>
    <row r="35" spans="1:12" x14ac:dyDescent="0.3">
      <c r="A35" t="s">
        <v>227</v>
      </c>
      <c r="B35" t="s">
        <v>228</v>
      </c>
      <c r="C35" t="s">
        <v>229</v>
      </c>
      <c r="D35" t="s">
        <v>223</v>
      </c>
      <c r="E35" t="s">
        <v>224</v>
      </c>
      <c r="F35" t="s">
        <v>225</v>
      </c>
      <c r="G35" t="s">
        <v>115</v>
      </c>
      <c r="I35" t="s">
        <v>37</v>
      </c>
      <c r="J35" s="5">
        <v>1</v>
      </c>
      <c r="K35" t="s">
        <v>226</v>
      </c>
      <c r="L35" t="s">
        <v>116</v>
      </c>
    </row>
    <row r="36" spans="1:12" x14ac:dyDescent="0.3">
      <c r="A36" t="s">
        <v>230</v>
      </c>
      <c r="B36" t="s">
        <v>231</v>
      </c>
      <c r="C36" t="s">
        <v>232</v>
      </c>
      <c r="D36" t="s">
        <v>223</v>
      </c>
      <c r="E36" t="s">
        <v>224</v>
      </c>
      <c r="F36" t="s">
        <v>225</v>
      </c>
      <c r="G36" t="s">
        <v>115</v>
      </c>
      <c r="I36" t="s">
        <v>37</v>
      </c>
      <c r="J36" s="5">
        <v>1</v>
      </c>
      <c r="K36" t="s">
        <v>226</v>
      </c>
      <c r="L36" t="s">
        <v>116</v>
      </c>
    </row>
    <row r="37" spans="1:12" x14ac:dyDescent="0.3">
      <c r="A37" t="s">
        <v>233</v>
      </c>
      <c r="B37" t="s">
        <v>234</v>
      </c>
      <c r="C37" t="s">
        <v>235</v>
      </c>
      <c r="D37" t="s">
        <v>223</v>
      </c>
      <c r="E37" t="s">
        <v>224</v>
      </c>
      <c r="F37" t="s">
        <v>225</v>
      </c>
      <c r="G37" t="s">
        <v>115</v>
      </c>
      <c r="I37" t="s">
        <v>37</v>
      </c>
      <c r="J37" s="5">
        <v>1</v>
      </c>
      <c r="K37" t="s">
        <v>226</v>
      </c>
      <c r="L37" t="s">
        <v>116</v>
      </c>
    </row>
    <row r="38" spans="1:12" x14ac:dyDescent="0.3">
      <c r="A38" t="s">
        <v>236</v>
      </c>
      <c r="B38" t="s">
        <v>237</v>
      </c>
      <c r="C38" t="s">
        <v>238</v>
      </c>
      <c r="D38" t="s">
        <v>223</v>
      </c>
      <c r="E38" t="s">
        <v>224</v>
      </c>
      <c r="F38" t="s">
        <v>225</v>
      </c>
      <c r="G38" t="s">
        <v>115</v>
      </c>
      <c r="I38" t="s">
        <v>37</v>
      </c>
      <c r="J38" s="5">
        <v>1</v>
      </c>
      <c r="K38" t="s">
        <v>226</v>
      </c>
      <c r="L38" t="s">
        <v>116</v>
      </c>
    </row>
    <row r="39" spans="1:12" x14ac:dyDescent="0.3">
      <c r="A39" t="s">
        <v>239</v>
      </c>
      <c r="B39" t="s">
        <v>240</v>
      </c>
      <c r="C39" t="s">
        <v>241</v>
      </c>
      <c r="D39" t="s">
        <v>223</v>
      </c>
      <c r="E39" t="s">
        <v>224</v>
      </c>
      <c r="F39" t="s">
        <v>225</v>
      </c>
      <c r="G39" t="s">
        <v>115</v>
      </c>
      <c r="I39" t="s">
        <v>37</v>
      </c>
      <c r="J39" s="5">
        <v>1</v>
      </c>
      <c r="K39" t="s">
        <v>226</v>
      </c>
      <c r="L39" t="s">
        <v>116</v>
      </c>
    </row>
    <row r="40" spans="1:12" x14ac:dyDescent="0.3">
      <c r="A40" t="s">
        <v>242</v>
      </c>
      <c r="B40" t="s">
        <v>243</v>
      </c>
      <c r="C40" t="s">
        <v>244</v>
      </c>
      <c r="D40" t="s">
        <v>223</v>
      </c>
      <c r="E40" t="s">
        <v>224</v>
      </c>
      <c r="F40" t="s">
        <v>225</v>
      </c>
      <c r="G40" t="s">
        <v>245</v>
      </c>
      <c r="I40" t="s">
        <v>37</v>
      </c>
      <c r="J40" s="5">
        <v>1</v>
      </c>
      <c r="K40" t="s">
        <v>226</v>
      </c>
      <c r="L40" t="s">
        <v>116</v>
      </c>
    </row>
    <row r="41" spans="1:12" x14ac:dyDescent="0.3">
      <c r="A41" t="s">
        <v>246</v>
      </c>
      <c r="B41" t="s">
        <v>247</v>
      </c>
      <c r="C41" t="s">
        <v>248</v>
      </c>
      <c r="D41" t="s">
        <v>223</v>
      </c>
      <c r="E41" t="s">
        <v>224</v>
      </c>
      <c r="F41" t="s">
        <v>225</v>
      </c>
      <c r="G41" t="s">
        <v>245</v>
      </c>
      <c r="I41" t="s">
        <v>37</v>
      </c>
      <c r="J41" s="5">
        <v>1</v>
      </c>
      <c r="K41" t="s">
        <v>226</v>
      </c>
      <c r="L41" t="s">
        <v>116</v>
      </c>
    </row>
    <row r="42" spans="1:12" x14ac:dyDescent="0.3">
      <c r="A42" t="s">
        <v>249</v>
      </c>
      <c r="B42" t="s">
        <v>250</v>
      </c>
      <c r="C42" t="s">
        <v>251</v>
      </c>
      <c r="D42" t="s">
        <v>223</v>
      </c>
      <c r="E42" t="s">
        <v>224</v>
      </c>
      <c r="F42" t="s">
        <v>225</v>
      </c>
      <c r="G42" t="s">
        <v>252</v>
      </c>
      <c r="I42" t="s">
        <v>37</v>
      </c>
      <c r="J42" s="5">
        <v>1</v>
      </c>
      <c r="K42" t="s">
        <v>226</v>
      </c>
      <c r="L42" t="s">
        <v>116</v>
      </c>
    </row>
    <row r="43" spans="1:12" x14ac:dyDescent="0.3">
      <c r="A43" t="s">
        <v>253</v>
      </c>
      <c r="B43" t="s">
        <v>254</v>
      </c>
      <c r="C43" t="s">
        <v>255</v>
      </c>
      <c r="D43" t="s">
        <v>223</v>
      </c>
      <c r="E43" t="s">
        <v>224</v>
      </c>
      <c r="F43" t="s">
        <v>225</v>
      </c>
      <c r="G43" t="s">
        <v>252</v>
      </c>
      <c r="I43" t="s">
        <v>37</v>
      </c>
      <c r="J43" s="5">
        <v>1</v>
      </c>
      <c r="K43" t="s">
        <v>226</v>
      </c>
      <c r="L43" t="s">
        <v>116</v>
      </c>
    </row>
    <row r="44" spans="1:12" x14ac:dyDescent="0.3">
      <c r="A44" t="s">
        <v>256</v>
      </c>
      <c r="B44" t="s">
        <v>257</v>
      </c>
      <c r="C44" t="s">
        <v>258</v>
      </c>
      <c r="D44" t="s">
        <v>223</v>
      </c>
      <c r="E44" t="s">
        <v>224</v>
      </c>
      <c r="F44" t="s">
        <v>225</v>
      </c>
      <c r="G44" t="s">
        <v>252</v>
      </c>
      <c r="I44" t="s">
        <v>37</v>
      </c>
      <c r="J44" s="5">
        <v>1</v>
      </c>
      <c r="K44" t="s">
        <v>226</v>
      </c>
      <c r="L44" t="s">
        <v>116</v>
      </c>
    </row>
    <row r="45" spans="1:12" x14ac:dyDescent="0.3">
      <c r="A45" t="s">
        <v>259</v>
      </c>
      <c r="B45" t="s">
        <v>260</v>
      </c>
      <c r="C45" t="s">
        <v>261</v>
      </c>
      <c r="D45" t="s">
        <v>223</v>
      </c>
      <c r="E45" t="s">
        <v>224</v>
      </c>
      <c r="F45" t="s">
        <v>225</v>
      </c>
      <c r="G45" t="s">
        <v>130</v>
      </c>
      <c r="I45" t="s">
        <v>37</v>
      </c>
      <c r="J45" s="5">
        <v>1</v>
      </c>
      <c r="K45" t="s">
        <v>226</v>
      </c>
      <c r="L45" t="s">
        <v>116</v>
      </c>
    </row>
    <row r="46" spans="1:12" x14ac:dyDescent="0.3">
      <c r="A46" t="s">
        <v>262</v>
      </c>
      <c r="B46" t="s">
        <v>263</v>
      </c>
      <c r="C46" t="s">
        <v>264</v>
      </c>
      <c r="D46" t="s">
        <v>223</v>
      </c>
      <c r="E46" t="s">
        <v>224</v>
      </c>
      <c r="F46" t="s">
        <v>225</v>
      </c>
      <c r="G46" t="s">
        <v>130</v>
      </c>
      <c r="I46" t="s">
        <v>37</v>
      </c>
      <c r="J46" s="5">
        <v>1</v>
      </c>
      <c r="K46" t="s">
        <v>226</v>
      </c>
      <c r="L46" t="s">
        <v>116</v>
      </c>
    </row>
    <row r="47" spans="1:12" x14ac:dyDescent="0.3">
      <c r="A47" t="s">
        <v>265</v>
      </c>
      <c r="B47" t="s">
        <v>266</v>
      </c>
      <c r="C47" t="s">
        <v>267</v>
      </c>
      <c r="D47" t="s">
        <v>223</v>
      </c>
      <c r="E47" t="s">
        <v>224</v>
      </c>
      <c r="F47" t="s">
        <v>225</v>
      </c>
      <c r="G47" t="s">
        <v>130</v>
      </c>
      <c r="I47" t="s">
        <v>37</v>
      </c>
      <c r="J47" s="5">
        <v>1</v>
      </c>
      <c r="K47" t="s">
        <v>226</v>
      </c>
      <c r="L47" t="s">
        <v>116</v>
      </c>
    </row>
    <row r="48" spans="1:12" x14ac:dyDescent="0.3">
      <c r="A48" t="s">
        <v>268</v>
      </c>
      <c r="B48" t="s">
        <v>269</v>
      </c>
      <c r="C48" t="s">
        <v>270</v>
      </c>
      <c r="D48" t="s">
        <v>223</v>
      </c>
      <c r="E48" t="s">
        <v>224</v>
      </c>
      <c r="F48" t="s">
        <v>225</v>
      </c>
      <c r="G48" t="s">
        <v>130</v>
      </c>
      <c r="I48" t="s">
        <v>37</v>
      </c>
      <c r="J48" s="5">
        <v>1</v>
      </c>
      <c r="K48" t="s">
        <v>226</v>
      </c>
      <c r="L48" t="s">
        <v>116</v>
      </c>
    </row>
    <row r="49" spans="1:12" x14ac:dyDescent="0.3">
      <c r="A49" t="s">
        <v>271</v>
      </c>
      <c r="B49" t="s">
        <v>272</v>
      </c>
      <c r="C49" t="s">
        <v>273</v>
      </c>
      <c r="D49" t="s">
        <v>223</v>
      </c>
      <c r="E49" t="s">
        <v>224</v>
      </c>
      <c r="F49" t="s">
        <v>225</v>
      </c>
      <c r="G49" t="s">
        <v>130</v>
      </c>
      <c r="I49" t="s">
        <v>37</v>
      </c>
      <c r="J49" s="5">
        <v>1</v>
      </c>
      <c r="K49" t="s">
        <v>226</v>
      </c>
      <c r="L49" t="s">
        <v>116</v>
      </c>
    </row>
    <row r="50" spans="1:12" x14ac:dyDescent="0.3">
      <c r="A50" t="s">
        <v>274</v>
      </c>
      <c r="B50" t="s">
        <v>275</v>
      </c>
      <c r="C50" t="s">
        <v>276</v>
      </c>
      <c r="D50" t="s">
        <v>223</v>
      </c>
      <c r="E50" t="s">
        <v>224</v>
      </c>
      <c r="F50" t="s">
        <v>225</v>
      </c>
      <c r="G50" t="s">
        <v>130</v>
      </c>
      <c r="I50" t="s">
        <v>37</v>
      </c>
      <c r="J50" s="5">
        <v>1</v>
      </c>
      <c r="K50" t="s">
        <v>226</v>
      </c>
      <c r="L50" t="s">
        <v>116</v>
      </c>
    </row>
    <row r="51" spans="1:12" x14ac:dyDescent="0.3">
      <c r="A51" t="s">
        <v>277</v>
      </c>
      <c r="B51" t="s">
        <v>278</v>
      </c>
      <c r="C51" t="s">
        <v>278</v>
      </c>
      <c r="D51" t="s">
        <v>223</v>
      </c>
      <c r="E51" t="s">
        <v>224</v>
      </c>
      <c r="F51" t="s">
        <v>225</v>
      </c>
      <c r="G51" t="s">
        <v>279</v>
      </c>
      <c r="I51" t="s">
        <v>37</v>
      </c>
      <c r="J51" s="5">
        <v>1</v>
      </c>
      <c r="K51" t="s">
        <v>226</v>
      </c>
      <c r="L51" t="s">
        <v>116</v>
      </c>
    </row>
    <row r="52" spans="1:12" x14ac:dyDescent="0.3">
      <c r="A52" t="s">
        <v>280</v>
      </c>
      <c r="B52" t="s">
        <v>281</v>
      </c>
      <c r="C52" t="s">
        <v>282</v>
      </c>
      <c r="D52" t="s">
        <v>223</v>
      </c>
      <c r="E52" t="s">
        <v>224</v>
      </c>
      <c r="F52" t="s">
        <v>225</v>
      </c>
      <c r="G52" t="s">
        <v>279</v>
      </c>
      <c r="I52" t="s">
        <v>37</v>
      </c>
      <c r="J52" s="5">
        <v>1</v>
      </c>
      <c r="K52" t="s">
        <v>226</v>
      </c>
      <c r="L52" t="s">
        <v>116</v>
      </c>
    </row>
    <row r="53" spans="1:12" x14ac:dyDescent="0.3">
      <c r="A53" t="s">
        <v>283</v>
      </c>
      <c r="B53" t="s">
        <v>284</v>
      </c>
      <c r="C53" t="s">
        <v>285</v>
      </c>
      <c r="D53" t="s">
        <v>223</v>
      </c>
      <c r="E53" t="s">
        <v>224</v>
      </c>
      <c r="F53" t="s">
        <v>225</v>
      </c>
      <c r="G53" t="s">
        <v>279</v>
      </c>
      <c r="I53" t="s">
        <v>37</v>
      </c>
      <c r="J53" s="5">
        <v>1</v>
      </c>
      <c r="K53" t="s">
        <v>226</v>
      </c>
      <c r="L53" t="s">
        <v>116</v>
      </c>
    </row>
    <row r="54" spans="1:12" x14ac:dyDescent="0.3">
      <c r="A54" t="s">
        <v>286</v>
      </c>
      <c r="B54" t="s">
        <v>287</v>
      </c>
      <c r="C54" t="s">
        <v>287</v>
      </c>
      <c r="D54" t="s">
        <v>223</v>
      </c>
      <c r="E54" t="s">
        <v>224</v>
      </c>
      <c r="F54" t="s">
        <v>225</v>
      </c>
      <c r="G54" t="s">
        <v>279</v>
      </c>
      <c r="I54" t="s">
        <v>37</v>
      </c>
      <c r="J54" s="5">
        <v>1</v>
      </c>
      <c r="K54" t="s">
        <v>226</v>
      </c>
      <c r="L54" t="s">
        <v>116</v>
      </c>
    </row>
    <row r="55" spans="1:12" x14ac:dyDescent="0.3">
      <c r="A55" t="s">
        <v>288</v>
      </c>
      <c r="B55" t="s">
        <v>289</v>
      </c>
      <c r="C55" t="s">
        <v>290</v>
      </c>
      <c r="D55" t="s">
        <v>223</v>
      </c>
      <c r="E55" t="s">
        <v>224</v>
      </c>
      <c r="F55" t="s">
        <v>225</v>
      </c>
      <c r="G55" t="s">
        <v>130</v>
      </c>
      <c r="I55" t="s">
        <v>37</v>
      </c>
      <c r="J55" s="5">
        <v>1</v>
      </c>
      <c r="K55" t="s">
        <v>226</v>
      </c>
      <c r="L55" t="s">
        <v>116</v>
      </c>
    </row>
    <row r="56" spans="1:12" x14ac:dyDescent="0.3">
      <c r="A56" t="s">
        <v>291</v>
      </c>
      <c r="B56" t="s">
        <v>292</v>
      </c>
      <c r="C56" t="s">
        <v>293</v>
      </c>
      <c r="D56" t="s">
        <v>223</v>
      </c>
      <c r="E56" t="s">
        <v>224</v>
      </c>
      <c r="F56" t="s">
        <v>225</v>
      </c>
      <c r="G56" t="s">
        <v>130</v>
      </c>
      <c r="I56" t="s">
        <v>37</v>
      </c>
      <c r="J56" s="5">
        <v>1</v>
      </c>
      <c r="K56" t="s">
        <v>226</v>
      </c>
      <c r="L56" t="s">
        <v>116</v>
      </c>
    </row>
    <row r="57" spans="1:12" x14ac:dyDescent="0.3">
      <c r="A57" t="s">
        <v>294</v>
      </c>
      <c r="B57" t="s">
        <v>295</v>
      </c>
      <c r="C57" t="s">
        <v>296</v>
      </c>
      <c r="D57" t="s">
        <v>223</v>
      </c>
      <c r="E57" t="s">
        <v>224</v>
      </c>
      <c r="F57" t="s">
        <v>225</v>
      </c>
      <c r="G57" t="s">
        <v>130</v>
      </c>
      <c r="I57" t="s">
        <v>37</v>
      </c>
      <c r="J57" s="5">
        <v>1</v>
      </c>
      <c r="K57" t="s">
        <v>226</v>
      </c>
      <c r="L57" t="s">
        <v>116</v>
      </c>
    </row>
    <row r="58" spans="1:12" x14ac:dyDescent="0.3">
      <c r="A58" t="s">
        <v>297</v>
      </c>
      <c r="B58" t="s">
        <v>298</v>
      </c>
      <c r="C58" t="s">
        <v>299</v>
      </c>
      <c r="D58" t="s">
        <v>223</v>
      </c>
      <c r="E58" t="s">
        <v>224</v>
      </c>
      <c r="F58" t="s">
        <v>225</v>
      </c>
      <c r="G58" t="s">
        <v>300</v>
      </c>
      <c r="I58" t="s">
        <v>37</v>
      </c>
      <c r="J58" s="5">
        <v>1</v>
      </c>
      <c r="K58" t="s">
        <v>226</v>
      </c>
      <c r="L58" t="s">
        <v>116</v>
      </c>
    </row>
    <row r="59" spans="1:12" x14ac:dyDescent="0.3">
      <c r="A59" t="s">
        <v>301</v>
      </c>
      <c r="B59" t="s">
        <v>302</v>
      </c>
      <c r="C59" t="s">
        <v>303</v>
      </c>
      <c r="D59" t="s">
        <v>223</v>
      </c>
      <c r="E59" t="s">
        <v>224</v>
      </c>
      <c r="F59" t="s">
        <v>225</v>
      </c>
      <c r="G59" t="s">
        <v>300</v>
      </c>
      <c r="I59" t="s">
        <v>37</v>
      </c>
      <c r="J59" s="5">
        <v>1</v>
      </c>
      <c r="K59" t="s">
        <v>226</v>
      </c>
      <c r="L59" t="s">
        <v>116</v>
      </c>
    </row>
    <row r="60" spans="1:12" x14ac:dyDescent="0.3">
      <c r="A60" t="s">
        <v>304</v>
      </c>
      <c r="B60" t="s">
        <v>305</v>
      </c>
      <c r="C60" t="s">
        <v>306</v>
      </c>
      <c r="D60" t="s">
        <v>223</v>
      </c>
      <c r="E60" t="s">
        <v>224</v>
      </c>
      <c r="F60" t="s">
        <v>225</v>
      </c>
      <c r="G60" t="s">
        <v>300</v>
      </c>
      <c r="I60" t="s">
        <v>37</v>
      </c>
      <c r="J60" s="5">
        <v>1</v>
      </c>
      <c r="K60" t="s">
        <v>226</v>
      </c>
      <c r="L60" t="s">
        <v>116</v>
      </c>
    </row>
    <row r="61" spans="1:12" x14ac:dyDescent="0.3">
      <c r="A61" t="s">
        <v>307</v>
      </c>
      <c r="B61" t="s">
        <v>308</v>
      </c>
      <c r="C61" t="s">
        <v>309</v>
      </c>
      <c r="D61" t="s">
        <v>223</v>
      </c>
      <c r="E61" t="s">
        <v>224</v>
      </c>
      <c r="F61" t="s">
        <v>225</v>
      </c>
      <c r="G61" t="s">
        <v>300</v>
      </c>
      <c r="I61" t="s">
        <v>37</v>
      </c>
      <c r="J61" s="5">
        <v>1</v>
      </c>
      <c r="K61" t="s">
        <v>226</v>
      </c>
      <c r="L61" t="s">
        <v>116</v>
      </c>
    </row>
    <row r="62" spans="1:12" x14ac:dyDescent="0.3">
      <c r="A62" t="s">
        <v>310</v>
      </c>
      <c r="B62" t="s">
        <v>311</v>
      </c>
      <c r="C62" t="s">
        <v>312</v>
      </c>
      <c r="D62" t="s">
        <v>223</v>
      </c>
      <c r="E62" t="s">
        <v>224</v>
      </c>
      <c r="F62" t="s">
        <v>225</v>
      </c>
      <c r="G62" t="s">
        <v>300</v>
      </c>
      <c r="I62" t="s">
        <v>37</v>
      </c>
      <c r="J62" s="5">
        <v>1</v>
      </c>
      <c r="K62" t="s">
        <v>226</v>
      </c>
      <c r="L62" t="s">
        <v>116</v>
      </c>
    </row>
    <row r="63" spans="1:12" x14ac:dyDescent="0.3">
      <c r="A63" t="s">
        <v>313</v>
      </c>
      <c r="B63" t="s">
        <v>314</v>
      </c>
      <c r="C63" t="s">
        <v>315</v>
      </c>
      <c r="D63" t="s">
        <v>223</v>
      </c>
      <c r="E63" t="s">
        <v>224</v>
      </c>
      <c r="F63" t="s">
        <v>225</v>
      </c>
      <c r="G63" t="s">
        <v>300</v>
      </c>
      <c r="I63" t="s">
        <v>37</v>
      </c>
      <c r="J63" s="5">
        <v>1</v>
      </c>
      <c r="K63" t="s">
        <v>226</v>
      </c>
      <c r="L63" t="s">
        <v>116</v>
      </c>
    </row>
    <row r="64" spans="1:12" x14ac:dyDescent="0.3">
      <c r="A64" t="s">
        <v>316</v>
      </c>
      <c r="B64" t="s">
        <v>317</v>
      </c>
      <c r="C64" t="s">
        <v>318</v>
      </c>
      <c r="D64" t="s">
        <v>223</v>
      </c>
      <c r="E64" t="s">
        <v>224</v>
      </c>
      <c r="F64" t="s">
        <v>225</v>
      </c>
      <c r="G64" t="s">
        <v>130</v>
      </c>
      <c r="I64" t="s">
        <v>37</v>
      </c>
      <c r="J64" s="5">
        <v>1</v>
      </c>
      <c r="K64" t="s">
        <v>226</v>
      </c>
      <c r="L64" t="s">
        <v>116</v>
      </c>
    </row>
    <row r="65" spans="1:12" x14ac:dyDescent="0.3">
      <c r="A65" t="s">
        <v>319</v>
      </c>
      <c r="B65" t="s">
        <v>320</v>
      </c>
      <c r="C65" t="s">
        <v>321</v>
      </c>
      <c r="D65" t="s">
        <v>223</v>
      </c>
      <c r="E65" t="s">
        <v>224</v>
      </c>
      <c r="F65" t="s">
        <v>225</v>
      </c>
      <c r="G65" t="s">
        <v>130</v>
      </c>
      <c r="I65" t="s">
        <v>37</v>
      </c>
      <c r="J65" s="5">
        <v>1</v>
      </c>
      <c r="K65" t="s">
        <v>226</v>
      </c>
      <c r="L65" t="s">
        <v>116</v>
      </c>
    </row>
    <row r="66" spans="1:12" x14ac:dyDescent="0.3">
      <c r="A66" t="s">
        <v>322</v>
      </c>
      <c r="B66" t="s">
        <v>323</v>
      </c>
      <c r="C66" t="s">
        <v>324</v>
      </c>
      <c r="D66" t="s">
        <v>223</v>
      </c>
      <c r="E66" t="s">
        <v>224</v>
      </c>
      <c r="F66" t="s">
        <v>225</v>
      </c>
      <c r="G66" t="s">
        <v>130</v>
      </c>
      <c r="I66" t="s">
        <v>37</v>
      </c>
      <c r="J66" s="5">
        <v>1</v>
      </c>
      <c r="K66" t="s">
        <v>226</v>
      </c>
      <c r="L66" t="s">
        <v>116</v>
      </c>
    </row>
    <row r="67" spans="1:12" x14ac:dyDescent="0.3">
      <c r="A67" t="s">
        <v>325</v>
      </c>
      <c r="B67" t="s">
        <v>326</v>
      </c>
      <c r="C67" t="s">
        <v>327</v>
      </c>
      <c r="D67" t="s">
        <v>223</v>
      </c>
      <c r="E67" t="s">
        <v>224</v>
      </c>
      <c r="F67" t="s">
        <v>225</v>
      </c>
      <c r="G67" t="s">
        <v>328</v>
      </c>
      <c r="I67" t="s">
        <v>37</v>
      </c>
      <c r="J67" s="5">
        <v>1</v>
      </c>
      <c r="K67" t="s">
        <v>226</v>
      </c>
      <c r="L67" t="s">
        <v>116</v>
      </c>
    </row>
    <row r="68" spans="1:12" x14ac:dyDescent="0.3">
      <c r="A68" t="s">
        <v>329</v>
      </c>
      <c r="B68" t="s">
        <v>330</v>
      </c>
      <c r="C68" t="s">
        <v>331</v>
      </c>
      <c r="D68" t="s">
        <v>223</v>
      </c>
      <c r="E68" t="s">
        <v>224</v>
      </c>
      <c r="F68" t="s">
        <v>225</v>
      </c>
      <c r="G68" t="s">
        <v>328</v>
      </c>
      <c r="I68" t="s">
        <v>37</v>
      </c>
      <c r="J68" s="5">
        <v>1</v>
      </c>
      <c r="K68" t="s">
        <v>226</v>
      </c>
      <c r="L68" t="s">
        <v>116</v>
      </c>
    </row>
    <row r="69" spans="1:12" x14ac:dyDescent="0.3">
      <c r="A69" t="s">
        <v>332</v>
      </c>
      <c r="B69" t="s">
        <v>328</v>
      </c>
      <c r="C69" t="s">
        <v>333</v>
      </c>
      <c r="D69" t="s">
        <v>223</v>
      </c>
      <c r="E69" t="s">
        <v>224</v>
      </c>
      <c r="F69" t="s">
        <v>334</v>
      </c>
      <c r="G69" t="s">
        <v>279</v>
      </c>
      <c r="I69" t="s">
        <v>37</v>
      </c>
      <c r="J69" s="5">
        <v>1</v>
      </c>
      <c r="K69" t="s">
        <v>226</v>
      </c>
      <c r="L69" t="s">
        <v>116</v>
      </c>
    </row>
    <row r="70" spans="1:12" x14ac:dyDescent="0.3">
      <c r="A70" t="s">
        <v>335</v>
      </c>
      <c r="B70" t="s">
        <v>336</v>
      </c>
      <c r="C70" t="s">
        <v>337</v>
      </c>
      <c r="D70" t="s">
        <v>223</v>
      </c>
      <c r="E70" t="s">
        <v>224</v>
      </c>
      <c r="F70" t="s">
        <v>334</v>
      </c>
      <c r="G70" t="s">
        <v>130</v>
      </c>
      <c r="I70" t="s">
        <v>37</v>
      </c>
      <c r="J70" s="5">
        <v>1</v>
      </c>
      <c r="K70" t="s">
        <v>226</v>
      </c>
      <c r="L70" t="s">
        <v>116</v>
      </c>
    </row>
    <row r="71" spans="1:12" x14ac:dyDescent="0.3">
      <c r="A71" t="s">
        <v>338</v>
      </c>
      <c r="B71" t="s">
        <v>339</v>
      </c>
      <c r="C71" t="s">
        <v>340</v>
      </c>
      <c r="D71" t="s">
        <v>223</v>
      </c>
      <c r="E71" t="s">
        <v>224</v>
      </c>
      <c r="F71" t="s">
        <v>334</v>
      </c>
      <c r="G71" t="s">
        <v>279</v>
      </c>
      <c r="I71" t="s">
        <v>37</v>
      </c>
      <c r="J71" s="5">
        <v>1</v>
      </c>
      <c r="K71" t="s">
        <v>226</v>
      </c>
      <c r="L71" t="s">
        <v>116</v>
      </c>
    </row>
    <row r="72" spans="1:12" x14ac:dyDescent="0.3">
      <c r="A72" t="s">
        <v>341</v>
      </c>
      <c r="B72" t="s">
        <v>342</v>
      </c>
      <c r="C72" t="s">
        <v>343</v>
      </c>
      <c r="D72" t="s">
        <v>223</v>
      </c>
      <c r="E72" t="s">
        <v>224</v>
      </c>
      <c r="F72" t="s">
        <v>334</v>
      </c>
      <c r="G72" t="s">
        <v>279</v>
      </c>
      <c r="I72" t="s">
        <v>37</v>
      </c>
      <c r="J72" s="5">
        <v>1</v>
      </c>
      <c r="K72" t="s">
        <v>226</v>
      </c>
      <c r="L72" t="s">
        <v>116</v>
      </c>
    </row>
    <row r="73" spans="1:12" x14ac:dyDescent="0.3">
      <c r="A73" t="s">
        <v>344</v>
      </c>
      <c r="B73" t="s">
        <v>345</v>
      </c>
      <c r="C73" t="s">
        <v>346</v>
      </c>
      <c r="D73" t="s">
        <v>223</v>
      </c>
      <c r="E73" t="s">
        <v>224</v>
      </c>
      <c r="F73" t="s">
        <v>334</v>
      </c>
      <c r="G73" t="s">
        <v>279</v>
      </c>
      <c r="I73" t="s">
        <v>37</v>
      </c>
      <c r="J73" s="5">
        <v>1</v>
      </c>
      <c r="K73" t="s">
        <v>226</v>
      </c>
      <c r="L73" t="s">
        <v>116</v>
      </c>
    </row>
    <row r="74" spans="1:12" x14ac:dyDescent="0.3">
      <c r="A74" t="s">
        <v>347</v>
      </c>
      <c r="B74" t="s">
        <v>348</v>
      </c>
      <c r="C74" t="s">
        <v>349</v>
      </c>
      <c r="D74" t="s">
        <v>223</v>
      </c>
      <c r="E74" t="s">
        <v>224</v>
      </c>
      <c r="F74" t="s">
        <v>334</v>
      </c>
      <c r="G74" t="s">
        <v>130</v>
      </c>
      <c r="I74" t="s">
        <v>37</v>
      </c>
      <c r="J74" s="5">
        <v>1</v>
      </c>
      <c r="K74" t="s">
        <v>226</v>
      </c>
      <c r="L74" t="s">
        <v>116</v>
      </c>
    </row>
    <row r="75" spans="1:12" x14ac:dyDescent="0.3">
      <c r="A75" t="s">
        <v>350</v>
      </c>
      <c r="B75" t="s">
        <v>351</v>
      </c>
      <c r="C75" t="s">
        <v>352</v>
      </c>
      <c r="D75" t="s">
        <v>223</v>
      </c>
      <c r="E75" t="s">
        <v>224</v>
      </c>
      <c r="F75" t="s">
        <v>334</v>
      </c>
      <c r="G75" t="s">
        <v>130</v>
      </c>
      <c r="I75" t="s">
        <v>37</v>
      </c>
      <c r="J75" s="5">
        <v>1</v>
      </c>
      <c r="K75" t="s">
        <v>226</v>
      </c>
      <c r="L75" t="s">
        <v>116</v>
      </c>
    </row>
    <row r="76" spans="1:12" x14ac:dyDescent="0.3">
      <c r="A76" t="s">
        <v>353</v>
      </c>
      <c r="B76" t="s">
        <v>354</v>
      </c>
      <c r="C76" t="s">
        <v>355</v>
      </c>
      <c r="D76" t="s">
        <v>223</v>
      </c>
      <c r="E76" t="s">
        <v>224</v>
      </c>
      <c r="F76" t="s">
        <v>225</v>
      </c>
      <c r="G76" t="s">
        <v>130</v>
      </c>
      <c r="I76" t="s">
        <v>37</v>
      </c>
      <c r="J76" s="5">
        <v>1</v>
      </c>
      <c r="K76" t="s">
        <v>226</v>
      </c>
      <c r="L76" t="s">
        <v>116</v>
      </c>
    </row>
    <row r="77" spans="1:12" x14ac:dyDescent="0.3">
      <c r="A77" t="s">
        <v>356</v>
      </c>
      <c r="B77" t="s">
        <v>357</v>
      </c>
      <c r="C77" t="s">
        <v>358</v>
      </c>
      <c r="D77" t="s">
        <v>223</v>
      </c>
      <c r="E77" t="s">
        <v>224</v>
      </c>
      <c r="F77" t="s">
        <v>225</v>
      </c>
      <c r="G77" t="s">
        <v>130</v>
      </c>
      <c r="I77" t="s">
        <v>37</v>
      </c>
      <c r="J77" s="5">
        <v>1</v>
      </c>
      <c r="K77" t="s">
        <v>226</v>
      </c>
      <c r="L77" t="s">
        <v>116</v>
      </c>
    </row>
    <row r="78" spans="1:12" x14ac:dyDescent="0.3">
      <c r="A78" t="s">
        <v>359</v>
      </c>
      <c r="B78" t="s">
        <v>360</v>
      </c>
      <c r="C78" t="s">
        <v>361</v>
      </c>
      <c r="D78" t="s">
        <v>223</v>
      </c>
      <c r="E78" t="s">
        <v>224</v>
      </c>
      <c r="F78" t="s">
        <v>225</v>
      </c>
      <c r="G78" t="s">
        <v>300</v>
      </c>
      <c r="I78" t="s">
        <v>37</v>
      </c>
      <c r="J78" s="5">
        <v>1</v>
      </c>
      <c r="K78" t="s">
        <v>226</v>
      </c>
      <c r="L78" t="s">
        <v>116</v>
      </c>
    </row>
    <row r="79" spans="1:12" x14ac:dyDescent="0.3">
      <c r="A79" t="s">
        <v>362</v>
      </c>
      <c r="B79" t="s">
        <v>363</v>
      </c>
      <c r="C79" t="s">
        <v>364</v>
      </c>
      <c r="D79" t="s">
        <v>365</v>
      </c>
      <c r="E79" t="s">
        <v>366</v>
      </c>
      <c r="I79" t="s">
        <v>37</v>
      </c>
      <c r="J79" s="5">
        <v>2</v>
      </c>
      <c r="K79" t="s">
        <v>367</v>
      </c>
      <c r="L79" t="s">
        <v>116</v>
      </c>
    </row>
    <row r="80" spans="1:12" x14ac:dyDescent="0.3">
      <c r="A80" t="s">
        <v>368</v>
      </c>
      <c r="B80" t="s">
        <v>369</v>
      </c>
      <c r="C80" t="s">
        <v>370</v>
      </c>
      <c r="D80" t="s">
        <v>365</v>
      </c>
      <c r="E80" t="s">
        <v>366</v>
      </c>
      <c r="I80" t="s">
        <v>37</v>
      </c>
      <c r="J80" s="5">
        <v>2</v>
      </c>
      <c r="K80" t="s">
        <v>367</v>
      </c>
      <c r="L80" t="s">
        <v>116</v>
      </c>
    </row>
    <row r="81" spans="1:12" x14ac:dyDescent="0.3">
      <c r="A81" t="s">
        <v>371</v>
      </c>
      <c r="B81" t="s">
        <v>372</v>
      </c>
      <c r="C81" t="s">
        <v>373</v>
      </c>
      <c r="D81" t="s">
        <v>365</v>
      </c>
      <c r="E81" t="s">
        <v>366</v>
      </c>
      <c r="I81" t="s">
        <v>37</v>
      </c>
      <c r="J81" s="5">
        <v>2</v>
      </c>
      <c r="K81" t="s">
        <v>367</v>
      </c>
      <c r="L81" t="s">
        <v>116</v>
      </c>
    </row>
    <row r="82" spans="1:12" x14ac:dyDescent="0.3">
      <c r="A82" t="s">
        <v>374</v>
      </c>
      <c r="B82" t="s">
        <v>375</v>
      </c>
      <c r="C82" t="s">
        <v>376</v>
      </c>
      <c r="D82" t="s">
        <v>365</v>
      </c>
      <c r="E82" t="s">
        <v>366</v>
      </c>
      <c r="I82" t="s">
        <v>37</v>
      </c>
      <c r="J82" s="5">
        <v>2</v>
      </c>
      <c r="K82" t="s">
        <v>367</v>
      </c>
      <c r="L82" t="s">
        <v>116</v>
      </c>
    </row>
    <row r="83" spans="1:12" x14ac:dyDescent="0.3">
      <c r="A83" t="s">
        <v>377</v>
      </c>
      <c r="B83" t="s">
        <v>378</v>
      </c>
      <c r="C83" t="s">
        <v>379</v>
      </c>
      <c r="D83" t="s">
        <v>365</v>
      </c>
      <c r="E83" t="s">
        <v>366</v>
      </c>
      <c r="I83" t="s">
        <v>37</v>
      </c>
      <c r="J83" s="5">
        <v>2</v>
      </c>
      <c r="K83" t="s">
        <v>367</v>
      </c>
      <c r="L83" t="s">
        <v>116</v>
      </c>
    </row>
    <row r="84" spans="1:12" x14ac:dyDescent="0.3">
      <c r="A84" t="s">
        <v>380</v>
      </c>
      <c r="B84" t="s">
        <v>381</v>
      </c>
      <c r="C84" t="s">
        <v>382</v>
      </c>
      <c r="D84" t="s">
        <v>365</v>
      </c>
      <c r="E84" t="s">
        <v>366</v>
      </c>
      <c r="I84" t="s">
        <v>37</v>
      </c>
      <c r="J84" s="5">
        <v>2</v>
      </c>
      <c r="K84" t="s">
        <v>367</v>
      </c>
      <c r="L84" t="s">
        <v>116</v>
      </c>
    </row>
    <row r="85" spans="1:12" x14ac:dyDescent="0.3">
      <c r="A85" t="s">
        <v>383</v>
      </c>
      <c r="B85" t="s">
        <v>384</v>
      </c>
      <c r="C85" t="s">
        <v>385</v>
      </c>
      <c r="D85" t="s">
        <v>365</v>
      </c>
      <c r="E85" t="s">
        <v>366</v>
      </c>
      <c r="I85" t="s">
        <v>37</v>
      </c>
      <c r="J85" s="5">
        <v>2</v>
      </c>
      <c r="K85" t="s">
        <v>367</v>
      </c>
      <c r="L85" t="s">
        <v>116</v>
      </c>
    </row>
    <row r="86" spans="1:12" x14ac:dyDescent="0.3">
      <c r="A86" t="s">
        <v>386</v>
      </c>
      <c r="B86" t="s">
        <v>387</v>
      </c>
      <c r="C86" t="s">
        <v>388</v>
      </c>
      <c r="D86" t="s">
        <v>365</v>
      </c>
      <c r="E86" t="s">
        <v>366</v>
      </c>
      <c r="I86" t="s">
        <v>37</v>
      </c>
      <c r="J86" s="5">
        <v>2</v>
      </c>
      <c r="K86" t="s">
        <v>367</v>
      </c>
      <c r="L86" t="s">
        <v>116</v>
      </c>
    </row>
    <row r="87" spans="1:12" x14ac:dyDescent="0.3">
      <c r="A87" t="s">
        <v>389</v>
      </c>
      <c r="B87" t="s">
        <v>390</v>
      </c>
      <c r="C87" t="s">
        <v>391</v>
      </c>
      <c r="D87" t="s">
        <v>365</v>
      </c>
      <c r="E87" t="s">
        <v>366</v>
      </c>
      <c r="I87" t="s">
        <v>37</v>
      </c>
      <c r="J87" s="5">
        <v>2</v>
      </c>
      <c r="K87" t="s">
        <v>367</v>
      </c>
      <c r="L87" t="s">
        <v>116</v>
      </c>
    </row>
    <row r="88" spans="1:12" x14ac:dyDescent="0.3">
      <c r="A88" t="s">
        <v>392</v>
      </c>
      <c r="B88" t="s">
        <v>393</v>
      </c>
      <c r="C88" t="s">
        <v>394</v>
      </c>
      <c r="D88" t="s">
        <v>365</v>
      </c>
      <c r="E88" t="s">
        <v>366</v>
      </c>
      <c r="I88" t="s">
        <v>37</v>
      </c>
      <c r="J88" s="5">
        <v>2</v>
      </c>
      <c r="K88" t="s">
        <v>367</v>
      </c>
      <c r="L88" t="s">
        <v>116</v>
      </c>
    </row>
    <row r="89" spans="1:12" x14ac:dyDescent="0.3">
      <c r="A89" t="s">
        <v>395</v>
      </c>
      <c r="B89" t="s">
        <v>396</v>
      </c>
      <c r="C89" t="s">
        <v>397</v>
      </c>
      <c r="D89" t="s">
        <v>365</v>
      </c>
      <c r="E89" t="s">
        <v>366</v>
      </c>
      <c r="I89" t="s">
        <v>37</v>
      </c>
      <c r="J89" s="5">
        <v>2</v>
      </c>
      <c r="K89" t="s">
        <v>398</v>
      </c>
      <c r="L89" t="s">
        <v>116</v>
      </c>
    </row>
    <row r="90" spans="1:12" x14ac:dyDescent="0.3">
      <c r="A90" t="s">
        <v>399</v>
      </c>
      <c r="B90" t="s">
        <v>400</v>
      </c>
      <c r="C90" t="s">
        <v>401</v>
      </c>
      <c r="D90" t="s">
        <v>365</v>
      </c>
      <c r="E90" t="s">
        <v>366</v>
      </c>
      <c r="I90" t="s">
        <v>37</v>
      </c>
      <c r="J90" s="5">
        <v>2</v>
      </c>
      <c r="K90" t="s">
        <v>398</v>
      </c>
      <c r="L90" t="s">
        <v>116</v>
      </c>
    </row>
    <row r="91" spans="1:12" x14ac:dyDescent="0.3">
      <c r="A91" t="s">
        <v>402</v>
      </c>
      <c r="B91" t="s">
        <v>403</v>
      </c>
      <c r="C91" t="s">
        <v>404</v>
      </c>
      <c r="D91" t="s">
        <v>365</v>
      </c>
      <c r="E91" t="s">
        <v>366</v>
      </c>
      <c r="I91" t="s">
        <v>37</v>
      </c>
      <c r="J91" s="5">
        <v>2</v>
      </c>
      <c r="K91" t="s">
        <v>398</v>
      </c>
      <c r="L91" t="s">
        <v>116</v>
      </c>
    </row>
    <row r="92" spans="1:12" x14ac:dyDescent="0.3">
      <c r="A92" t="s">
        <v>405</v>
      </c>
      <c r="B92" t="s">
        <v>406</v>
      </c>
      <c r="C92" t="s">
        <v>407</v>
      </c>
      <c r="D92" t="s">
        <v>365</v>
      </c>
      <c r="E92" t="s">
        <v>366</v>
      </c>
      <c r="I92" t="s">
        <v>37</v>
      </c>
      <c r="J92" s="5">
        <v>2</v>
      </c>
      <c r="K92" t="s">
        <v>398</v>
      </c>
      <c r="L92" t="s">
        <v>116</v>
      </c>
    </row>
    <row r="93" spans="1:12" x14ac:dyDescent="0.3">
      <c r="A93" t="s">
        <v>408</v>
      </c>
      <c r="B93" t="s">
        <v>409</v>
      </c>
      <c r="C93" t="s">
        <v>410</v>
      </c>
      <c r="D93" t="s">
        <v>365</v>
      </c>
      <c r="E93" t="s">
        <v>366</v>
      </c>
      <c r="I93" t="s">
        <v>37</v>
      </c>
      <c r="J93" s="5">
        <v>2</v>
      </c>
      <c r="K93" t="s">
        <v>398</v>
      </c>
      <c r="L93" t="s">
        <v>116</v>
      </c>
    </row>
    <row r="94" spans="1:12" x14ac:dyDescent="0.3">
      <c r="A94" t="s">
        <v>411</v>
      </c>
      <c r="B94" t="s">
        <v>412</v>
      </c>
      <c r="C94" t="s">
        <v>413</v>
      </c>
      <c r="D94" t="s">
        <v>365</v>
      </c>
      <c r="E94" t="s">
        <v>366</v>
      </c>
      <c r="I94" t="s">
        <v>37</v>
      </c>
      <c r="J94" s="5">
        <v>2</v>
      </c>
      <c r="K94" t="s">
        <v>398</v>
      </c>
      <c r="L94" t="s">
        <v>116</v>
      </c>
    </row>
    <row r="95" spans="1:12" x14ac:dyDescent="0.3">
      <c r="A95" t="s">
        <v>414</v>
      </c>
      <c r="B95" t="s">
        <v>415</v>
      </c>
      <c r="C95" t="s">
        <v>416</v>
      </c>
      <c r="D95" t="s">
        <v>365</v>
      </c>
      <c r="E95" t="s">
        <v>366</v>
      </c>
      <c r="I95" t="s">
        <v>37</v>
      </c>
      <c r="J95" s="5">
        <v>2</v>
      </c>
      <c r="K95" t="s">
        <v>398</v>
      </c>
      <c r="L95" t="s">
        <v>116</v>
      </c>
    </row>
    <row r="96" spans="1:12" x14ac:dyDescent="0.3">
      <c r="A96" t="s">
        <v>417</v>
      </c>
      <c r="B96" t="s">
        <v>418</v>
      </c>
      <c r="C96" t="s">
        <v>419</v>
      </c>
      <c r="D96" t="s">
        <v>365</v>
      </c>
      <c r="E96" t="s">
        <v>366</v>
      </c>
      <c r="I96" t="s">
        <v>37</v>
      </c>
      <c r="J96" s="5">
        <v>2</v>
      </c>
      <c r="K96" t="s">
        <v>398</v>
      </c>
      <c r="L96" t="s">
        <v>116</v>
      </c>
    </row>
    <row r="97" spans="1:12" x14ac:dyDescent="0.3">
      <c r="A97" t="s">
        <v>420</v>
      </c>
      <c r="B97" t="s">
        <v>421</v>
      </c>
      <c r="C97" t="s">
        <v>422</v>
      </c>
      <c r="D97" t="s">
        <v>365</v>
      </c>
      <c r="E97" t="s">
        <v>366</v>
      </c>
      <c r="I97" t="s">
        <v>37</v>
      </c>
      <c r="J97" s="5">
        <v>2</v>
      </c>
      <c r="K97" t="s">
        <v>398</v>
      </c>
      <c r="L97" t="s">
        <v>116</v>
      </c>
    </row>
    <row r="98" spans="1:12" x14ac:dyDescent="0.3">
      <c r="A98" t="s">
        <v>423</v>
      </c>
      <c r="B98" t="s">
        <v>424</v>
      </c>
      <c r="C98" t="s">
        <v>425</v>
      </c>
      <c r="D98" t="s">
        <v>365</v>
      </c>
      <c r="E98" t="s">
        <v>366</v>
      </c>
      <c r="I98" t="s">
        <v>37</v>
      </c>
      <c r="J98" s="5">
        <v>2</v>
      </c>
      <c r="K98" t="s">
        <v>398</v>
      </c>
      <c r="L98" t="s">
        <v>116</v>
      </c>
    </row>
    <row r="99" spans="1:12" x14ac:dyDescent="0.3">
      <c r="A99" t="s">
        <v>426</v>
      </c>
      <c r="B99" t="s">
        <v>427</v>
      </c>
      <c r="C99" t="s">
        <v>428</v>
      </c>
      <c r="D99" t="s">
        <v>365</v>
      </c>
      <c r="E99" t="s">
        <v>366</v>
      </c>
      <c r="I99" t="s">
        <v>37</v>
      </c>
      <c r="J99" s="5">
        <v>2</v>
      </c>
      <c r="K99" t="s">
        <v>398</v>
      </c>
      <c r="L99" t="s">
        <v>116</v>
      </c>
    </row>
    <row r="100" spans="1:12" x14ac:dyDescent="0.3">
      <c r="A100" t="s">
        <v>429</v>
      </c>
      <c r="B100" t="s">
        <v>430</v>
      </c>
      <c r="C100" t="s">
        <v>431</v>
      </c>
      <c r="D100" t="s">
        <v>365</v>
      </c>
      <c r="E100" t="s">
        <v>366</v>
      </c>
      <c r="I100" t="s">
        <v>37</v>
      </c>
      <c r="J100" s="5">
        <v>2</v>
      </c>
      <c r="K100" t="s">
        <v>398</v>
      </c>
      <c r="L100" t="s">
        <v>116</v>
      </c>
    </row>
    <row r="101" spans="1:12" x14ac:dyDescent="0.3">
      <c r="A101" t="s">
        <v>432</v>
      </c>
      <c r="B101" t="s">
        <v>433</v>
      </c>
      <c r="C101" t="s">
        <v>434</v>
      </c>
      <c r="D101" t="s">
        <v>365</v>
      </c>
      <c r="E101" t="s">
        <v>366</v>
      </c>
      <c r="I101" t="s">
        <v>37</v>
      </c>
      <c r="J101" s="5">
        <v>2</v>
      </c>
      <c r="K101" t="s">
        <v>398</v>
      </c>
      <c r="L101" t="s">
        <v>116</v>
      </c>
    </row>
    <row r="102" spans="1:12" x14ac:dyDescent="0.3">
      <c r="A102" t="s">
        <v>435</v>
      </c>
      <c r="B102" t="s">
        <v>436</v>
      </c>
      <c r="C102" t="s">
        <v>437</v>
      </c>
      <c r="D102" t="s">
        <v>365</v>
      </c>
      <c r="E102" t="s">
        <v>366</v>
      </c>
      <c r="I102" t="s">
        <v>37</v>
      </c>
      <c r="J102" s="5">
        <v>2</v>
      </c>
      <c r="K102" t="s">
        <v>398</v>
      </c>
      <c r="L102" t="s">
        <v>116</v>
      </c>
    </row>
    <row r="103" spans="1:12" x14ac:dyDescent="0.3">
      <c r="A103" t="s">
        <v>438</v>
      </c>
      <c r="B103" t="s">
        <v>101</v>
      </c>
      <c r="C103" t="s">
        <v>439</v>
      </c>
      <c r="D103" t="s">
        <v>365</v>
      </c>
      <c r="E103" t="s">
        <v>366</v>
      </c>
      <c r="I103" t="s">
        <v>37</v>
      </c>
      <c r="J103" s="5">
        <v>4</v>
      </c>
      <c r="K103" t="s">
        <v>398</v>
      </c>
      <c r="L103" t="s">
        <v>116</v>
      </c>
    </row>
    <row r="104" spans="1:12" x14ac:dyDescent="0.3">
      <c r="A104" t="s">
        <v>440</v>
      </c>
      <c r="B104" t="s">
        <v>441</v>
      </c>
      <c r="C104" t="s">
        <v>442</v>
      </c>
      <c r="D104" t="s">
        <v>365</v>
      </c>
      <c r="E104" t="s">
        <v>443</v>
      </c>
      <c r="I104" t="s">
        <v>37</v>
      </c>
      <c r="J104" s="5">
        <v>4</v>
      </c>
      <c r="K104" t="s">
        <v>398</v>
      </c>
      <c r="L104" t="s">
        <v>116</v>
      </c>
    </row>
    <row r="105" spans="1:12" x14ac:dyDescent="0.3">
      <c r="A105" t="s">
        <v>444</v>
      </c>
      <c r="B105" t="s">
        <v>445</v>
      </c>
      <c r="C105" t="s">
        <v>446</v>
      </c>
      <c r="D105" t="s">
        <v>365</v>
      </c>
      <c r="E105" t="s">
        <v>443</v>
      </c>
      <c r="I105" t="s">
        <v>37</v>
      </c>
      <c r="J105" s="5">
        <v>4</v>
      </c>
      <c r="K105" t="s">
        <v>398</v>
      </c>
      <c r="L105" t="s">
        <v>116</v>
      </c>
    </row>
    <row r="106" spans="1:12" x14ac:dyDescent="0.3">
      <c r="A106" t="s">
        <v>447</v>
      </c>
      <c r="B106" t="s">
        <v>448</v>
      </c>
      <c r="C106" t="s">
        <v>449</v>
      </c>
      <c r="D106" t="s">
        <v>365</v>
      </c>
      <c r="E106" t="s">
        <v>443</v>
      </c>
      <c r="I106" t="s">
        <v>37</v>
      </c>
      <c r="J106" s="5">
        <v>4</v>
      </c>
      <c r="K106" t="s">
        <v>398</v>
      </c>
      <c r="L106" t="s">
        <v>116</v>
      </c>
    </row>
    <row r="107" spans="1:12" x14ac:dyDescent="0.3">
      <c r="A107" t="s">
        <v>450</v>
      </c>
      <c r="B107" t="s">
        <v>451</v>
      </c>
      <c r="C107" t="s">
        <v>452</v>
      </c>
      <c r="D107" t="s">
        <v>365</v>
      </c>
      <c r="E107" t="s">
        <v>443</v>
      </c>
      <c r="I107" t="s">
        <v>37</v>
      </c>
      <c r="J107" s="5">
        <v>4</v>
      </c>
      <c r="K107" t="s">
        <v>398</v>
      </c>
      <c r="L107" t="s">
        <v>116</v>
      </c>
    </row>
    <row r="108" spans="1:12" x14ac:dyDescent="0.3">
      <c r="A108" t="s">
        <v>453</v>
      </c>
      <c r="B108" t="s">
        <v>454</v>
      </c>
      <c r="C108" t="s">
        <v>455</v>
      </c>
      <c r="D108" t="s">
        <v>365</v>
      </c>
      <c r="E108" t="s">
        <v>443</v>
      </c>
      <c r="I108" t="s">
        <v>37</v>
      </c>
      <c r="J108" s="5">
        <v>4</v>
      </c>
      <c r="K108" t="s">
        <v>398</v>
      </c>
      <c r="L108" t="s">
        <v>116</v>
      </c>
    </row>
    <row r="109" spans="1:12" x14ac:dyDescent="0.3">
      <c r="A109" t="s">
        <v>456</v>
      </c>
      <c r="B109" t="s">
        <v>457</v>
      </c>
      <c r="C109" t="s">
        <v>458</v>
      </c>
      <c r="D109" t="s">
        <v>459</v>
      </c>
      <c r="E109" t="s">
        <v>460</v>
      </c>
      <c r="I109" t="s">
        <v>37</v>
      </c>
      <c r="J109" s="5">
        <v>2</v>
      </c>
      <c r="K109" t="s">
        <v>461</v>
      </c>
      <c r="L109" t="s">
        <v>116</v>
      </c>
    </row>
    <row r="110" spans="1:12" x14ac:dyDescent="0.3">
      <c r="A110" t="s">
        <v>462</v>
      </c>
      <c r="B110" t="s">
        <v>463</v>
      </c>
      <c r="C110" t="s">
        <v>464</v>
      </c>
      <c r="D110" t="s">
        <v>459</v>
      </c>
      <c r="E110" t="s">
        <v>460</v>
      </c>
      <c r="I110" t="s">
        <v>37</v>
      </c>
      <c r="J110" s="5">
        <v>2</v>
      </c>
      <c r="K110" t="s">
        <v>461</v>
      </c>
      <c r="L110" t="s">
        <v>116</v>
      </c>
    </row>
    <row r="111" spans="1:12" x14ac:dyDescent="0.3">
      <c r="A111" t="s">
        <v>465</v>
      </c>
      <c r="B111" t="s">
        <v>466</v>
      </c>
      <c r="C111" t="s">
        <v>467</v>
      </c>
      <c r="D111" t="s">
        <v>459</v>
      </c>
      <c r="E111" t="s">
        <v>460</v>
      </c>
      <c r="I111" t="s">
        <v>37</v>
      </c>
      <c r="J111" s="5">
        <v>2</v>
      </c>
      <c r="K111" t="s">
        <v>461</v>
      </c>
      <c r="L111" t="s">
        <v>116</v>
      </c>
    </row>
    <row r="112" spans="1:12" x14ac:dyDescent="0.3">
      <c r="A112" t="s">
        <v>468</v>
      </c>
      <c r="B112" t="s">
        <v>469</v>
      </c>
      <c r="C112" t="s">
        <v>470</v>
      </c>
      <c r="D112" t="s">
        <v>459</v>
      </c>
      <c r="E112" t="s">
        <v>460</v>
      </c>
      <c r="I112" t="s">
        <v>37</v>
      </c>
      <c r="J112" s="5">
        <v>2</v>
      </c>
      <c r="K112" t="s">
        <v>461</v>
      </c>
      <c r="L112" t="s">
        <v>116</v>
      </c>
    </row>
    <row r="113" spans="1:12" x14ac:dyDescent="0.3">
      <c r="A113" t="s">
        <v>471</v>
      </c>
      <c r="B113" t="s">
        <v>472</v>
      </c>
      <c r="C113" t="s">
        <v>473</v>
      </c>
      <c r="D113" t="s">
        <v>459</v>
      </c>
      <c r="E113" t="s">
        <v>460</v>
      </c>
      <c r="I113" t="s">
        <v>37</v>
      </c>
      <c r="J113" s="5">
        <v>2</v>
      </c>
      <c r="K113" t="s">
        <v>461</v>
      </c>
      <c r="L113" t="s">
        <v>116</v>
      </c>
    </row>
    <row r="114" spans="1:12" x14ac:dyDescent="0.3">
      <c r="A114" t="s">
        <v>474</v>
      </c>
      <c r="B114" t="s">
        <v>475</v>
      </c>
      <c r="C114" t="s">
        <v>476</v>
      </c>
      <c r="D114" t="s">
        <v>459</v>
      </c>
      <c r="E114" t="s">
        <v>477</v>
      </c>
      <c r="I114" t="s">
        <v>37</v>
      </c>
      <c r="J114" s="5">
        <v>4</v>
      </c>
      <c r="K114" t="s">
        <v>461</v>
      </c>
      <c r="L114" t="s">
        <v>116</v>
      </c>
    </row>
    <row r="115" spans="1:12" x14ac:dyDescent="0.3">
      <c r="A115" t="s">
        <v>478</v>
      </c>
      <c r="B115" t="s">
        <v>479</v>
      </c>
      <c r="C115" t="s">
        <v>480</v>
      </c>
      <c r="D115" t="s">
        <v>459</v>
      </c>
      <c r="E115" t="s">
        <v>477</v>
      </c>
      <c r="I115" t="s">
        <v>37</v>
      </c>
      <c r="J115" s="5">
        <v>4</v>
      </c>
      <c r="K115" t="s">
        <v>461</v>
      </c>
      <c r="L115" t="s">
        <v>116</v>
      </c>
    </row>
    <row r="116" spans="1:12" x14ac:dyDescent="0.3">
      <c r="A116" t="s">
        <v>481</v>
      </c>
      <c r="B116" t="s">
        <v>482</v>
      </c>
      <c r="C116" t="s">
        <v>483</v>
      </c>
      <c r="D116" t="s">
        <v>459</v>
      </c>
      <c r="E116" t="s">
        <v>477</v>
      </c>
      <c r="I116" t="s">
        <v>37</v>
      </c>
      <c r="J116" s="5">
        <v>4</v>
      </c>
      <c r="K116" t="s">
        <v>461</v>
      </c>
      <c r="L116" t="s">
        <v>116</v>
      </c>
    </row>
    <row r="117" spans="1:12" x14ac:dyDescent="0.3">
      <c r="A117" t="s">
        <v>484</v>
      </c>
      <c r="B117" t="s">
        <v>485</v>
      </c>
      <c r="C117" t="s">
        <v>486</v>
      </c>
      <c r="D117" t="s">
        <v>459</v>
      </c>
      <c r="E117" t="s">
        <v>477</v>
      </c>
      <c r="I117" t="s">
        <v>37</v>
      </c>
      <c r="J117" s="5">
        <v>4</v>
      </c>
      <c r="K117" t="s">
        <v>461</v>
      </c>
      <c r="L117" t="s">
        <v>116</v>
      </c>
    </row>
    <row r="118" spans="1:12" x14ac:dyDescent="0.3">
      <c r="A118" t="s">
        <v>487</v>
      </c>
      <c r="B118" t="s">
        <v>488</v>
      </c>
      <c r="C118" t="s">
        <v>489</v>
      </c>
      <c r="D118" t="s">
        <v>459</v>
      </c>
      <c r="E118" t="s">
        <v>477</v>
      </c>
      <c r="I118" t="s">
        <v>37</v>
      </c>
      <c r="J118" s="5">
        <v>4</v>
      </c>
      <c r="K118" t="s">
        <v>461</v>
      </c>
      <c r="L118" t="s">
        <v>116</v>
      </c>
    </row>
    <row r="119" spans="1:12" x14ac:dyDescent="0.3">
      <c r="A119" t="s">
        <v>490</v>
      </c>
      <c r="B119" t="s">
        <v>491</v>
      </c>
      <c r="C119" t="s">
        <v>492</v>
      </c>
      <c r="D119" t="s">
        <v>459</v>
      </c>
      <c r="E119" t="s">
        <v>493</v>
      </c>
      <c r="I119" t="s">
        <v>37</v>
      </c>
      <c r="J119" s="5">
        <v>4</v>
      </c>
      <c r="K119" t="s">
        <v>461</v>
      </c>
      <c r="L119" t="s">
        <v>116</v>
      </c>
    </row>
    <row r="120" spans="1:12" x14ac:dyDescent="0.3">
      <c r="A120" t="s">
        <v>494</v>
      </c>
      <c r="B120" t="s">
        <v>495</v>
      </c>
      <c r="C120" t="s">
        <v>496</v>
      </c>
      <c r="D120" t="s">
        <v>459</v>
      </c>
      <c r="E120" t="s">
        <v>493</v>
      </c>
      <c r="I120" t="s">
        <v>37</v>
      </c>
      <c r="J120" s="5">
        <v>4</v>
      </c>
      <c r="K120" t="s">
        <v>461</v>
      </c>
      <c r="L120" t="s">
        <v>116</v>
      </c>
    </row>
    <row r="121" spans="1:12" x14ac:dyDescent="0.3">
      <c r="A121" t="s">
        <v>497</v>
      </c>
      <c r="B121" t="s">
        <v>498</v>
      </c>
      <c r="C121" t="s">
        <v>499</v>
      </c>
      <c r="D121" t="s">
        <v>459</v>
      </c>
      <c r="E121" t="s">
        <v>493</v>
      </c>
      <c r="I121" t="s">
        <v>37</v>
      </c>
      <c r="J121" s="5">
        <v>4</v>
      </c>
      <c r="K121" t="s">
        <v>461</v>
      </c>
      <c r="L121" t="s">
        <v>116</v>
      </c>
    </row>
    <row r="122" spans="1:12" x14ac:dyDescent="0.3">
      <c r="A122" t="s">
        <v>500</v>
      </c>
      <c r="B122" t="s">
        <v>501</v>
      </c>
      <c r="C122" t="s">
        <v>502</v>
      </c>
      <c r="D122" t="s">
        <v>459</v>
      </c>
      <c r="E122" t="s">
        <v>493</v>
      </c>
      <c r="I122" t="s">
        <v>37</v>
      </c>
      <c r="J122" s="5">
        <v>4</v>
      </c>
      <c r="K122" t="s">
        <v>461</v>
      </c>
      <c r="L122" t="s">
        <v>116</v>
      </c>
    </row>
    <row r="123" spans="1:12" x14ac:dyDescent="0.3">
      <c r="A123" t="s">
        <v>503</v>
      </c>
      <c r="B123" t="s">
        <v>504</v>
      </c>
      <c r="C123" t="s">
        <v>505</v>
      </c>
      <c r="D123" t="s">
        <v>459</v>
      </c>
      <c r="E123" t="s">
        <v>328</v>
      </c>
      <c r="I123" t="s">
        <v>37</v>
      </c>
      <c r="J123" s="5">
        <v>4</v>
      </c>
      <c r="K123" t="s">
        <v>461</v>
      </c>
      <c r="L123" t="s">
        <v>116</v>
      </c>
    </row>
    <row r="124" spans="1:12" x14ac:dyDescent="0.3">
      <c r="A124" t="s">
        <v>506</v>
      </c>
      <c r="B124" t="s">
        <v>507</v>
      </c>
      <c r="C124" t="s">
        <v>508</v>
      </c>
      <c r="D124" t="s">
        <v>459</v>
      </c>
      <c r="E124" t="s">
        <v>328</v>
      </c>
      <c r="I124" t="s">
        <v>37</v>
      </c>
      <c r="J124" s="5">
        <v>4</v>
      </c>
      <c r="K124" t="s">
        <v>461</v>
      </c>
      <c r="L124" t="s">
        <v>116</v>
      </c>
    </row>
    <row r="125" spans="1:12" x14ac:dyDescent="0.3">
      <c r="A125" t="s">
        <v>509</v>
      </c>
      <c r="B125" t="s">
        <v>510</v>
      </c>
      <c r="C125" t="s">
        <v>511</v>
      </c>
      <c r="D125" t="s">
        <v>459</v>
      </c>
      <c r="E125" t="s">
        <v>328</v>
      </c>
      <c r="I125" t="s">
        <v>37</v>
      </c>
      <c r="J125" s="5">
        <v>4</v>
      </c>
      <c r="K125" t="s">
        <v>461</v>
      </c>
      <c r="L125" t="s">
        <v>116</v>
      </c>
    </row>
    <row r="126" spans="1:12" x14ac:dyDescent="0.3">
      <c r="A126" t="s">
        <v>512</v>
      </c>
      <c r="B126" t="s">
        <v>513</v>
      </c>
      <c r="C126" t="s">
        <v>514</v>
      </c>
      <c r="D126" t="s">
        <v>459</v>
      </c>
      <c r="E126" t="s">
        <v>328</v>
      </c>
      <c r="I126" t="s">
        <v>37</v>
      </c>
      <c r="J126" s="5">
        <v>4</v>
      </c>
      <c r="K126" t="s">
        <v>461</v>
      </c>
      <c r="L126" t="s">
        <v>116</v>
      </c>
    </row>
    <row r="127" spans="1:12" x14ac:dyDescent="0.3">
      <c r="A127" t="s">
        <v>515</v>
      </c>
      <c r="B127" t="s">
        <v>516</v>
      </c>
      <c r="C127" t="s">
        <v>327</v>
      </c>
      <c r="D127" t="s">
        <v>459</v>
      </c>
      <c r="E127" t="s">
        <v>328</v>
      </c>
      <c r="I127" t="s">
        <v>37</v>
      </c>
      <c r="J127" s="5">
        <v>4</v>
      </c>
      <c r="K127" t="s">
        <v>461</v>
      </c>
      <c r="L127" t="s">
        <v>116</v>
      </c>
    </row>
    <row r="128" spans="1:12" x14ac:dyDescent="0.3">
      <c r="A128" t="s">
        <v>517</v>
      </c>
      <c r="B128" t="s">
        <v>518</v>
      </c>
      <c r="C128" t="s">
        <v>519</v>
      </c>
      <c r="D128" t="s">
        <v>459</v>
      </c>
      <c r="E128" t="s">
        <v>300</v>
      </c>
      <c r="I128" t="s">
        <v>37</v>
      </c>
      <c r="J128" s="5">
        <v>4</v>
      </c>
      <c r="K128" t="s">
        <v>461</v>
      </c>
      <c r="L128" t="s">
        <v>116</v>
      </c>
    </row>
    <row r="129" spans="1:12" x14ac:dyDescent="0.3">
      <c r="A129" t="s">
        <v>520</v>
      </c>
      <c r="B129" t="s">
        <v>521</v>
      </c>
      <c r="C129" t="s">
        <v>522</v>
      </c>
      <c r="D129" t="s">
        <v>459</v>
      </c>
      <c r="E129" t="s">
        <v>300</v>
      </c>
      <c r="I129" t="s">
        <v>37</v>
      </c>
      <c r="J129" s="5">
        <v>4</v>
      </c>
      <c r="K129" t="s">
        <v>461</v>
      </c>
      <c r="L129" t="s">
        <v>116</v>
      </c>
    </row>
    <row r="130" spans="1:12" x14ac:dyDescent="0.3">
      <c r="A130" t="s">
        <v>523</v>
      </c>
      <c r="B130" t="s">
        <v>524</v>
      </c>
      <c r="C130" t="s">
        <v>525</v>
      </c>
      <c r="D130" t="s">
        <v>459</v>
      </c>
      <c r="E130" t="s">
        <v>300</v>
      </c>
      <c r="I130" t="s">
        <v>37</v>
      </c>
      <c r="J130" s="5">
        <v>4</v>
      </c>
      <c r="K130" t="s">
        <v>461</v>
      </c>
      <c r="L130" t="s">
        <v>116</v>
      </c>
    </row>
    <row r="131" spans="1:12" x14ac:dyDescent="0.3">
      <c r="A131" t="s">
        <v>526</v>
      </c>
      <c r="B131" t="s">
        <v>527</v>
      </c>
      <c r="C131" t="s">
        <v>528</v>
      </c>
      <c r="D131" t="s">
        <v>459</v>
      </c>
      <c r="E131" t="s">
        <v>477</v>
      </c>
      <c r="I131" t="s">
        <v>37</v>
      </c>
      <c r="J131" s="5">
        <v>4</v>
      </c>
      <c r="K131" t="s">
        <v>461</v>
      </c>
      <c r="L131" t="s">
        <v>116</v>
      </c>
    </row>
    <row r="132" spans="1:12" x14ac:dyDescent="0.3">
      <c r="A132" t="s">
        <v>529</v>
      </c>
      <c r="B132" t="s">
        <v>530</v>
      </c>
      <c r="C132" t="s">
        <v>531</v>
      </c>
      <c r="D132" t="s">
        <v>459</v>
      </c>
      <c r="E132" t="s">
        <v>532</v>
      </c>
      <c r="I132" t="s">
        <v>37</v>
      </c>
      <c r="J132" s="5">
        <v>4</v>
      </c>
      <c r="K132" t="s">
        <v>461</v>
      </c>
      <c r="L132" t="s">
        <v>116</v>
      </c>
    </row>
    <row r="133" spans="1:12" x14ac:dyDescent="0.3">
      <c r="A133" t="s">
        <v>533</v>
      </c>
      <c r="B133" t="s">
        <v>534</v>
      </c>
      <c r="C133" t="s">
        <v>535</v>
      </c>
      <c r="D133" t="s">
        <v>459</v>
      </c>
      <c r="E133" t="s">
        <v>295</v>
      </c>
      <c r="I133" t="s">
        <v>37</v>
      </c>
      <c r="J133" s="5">
        <v>4</v>
      </c>
      <c r="K133" t="s">
        <v>461</v>
      </c>
      <c r="L133" t="s">
        <v>116</v>
      </c>
    </row>
    <row r="134" spans="1:12" x14ac:dyDescent="0.3">
      <c r="A134" t="s">
        <v>536</v>
      </c>
      <c r="B134" t="s">
        <v>537</v>
      </c>
      <c r="C134" t="s">
        <v>538</v>
      </c>
      <c r="D134" t="s">
        <v>539</v>
      </c>
      <c r="E134" t="s">
        <v>540</v>
      </c>
      <c r="I134" t="s">
        <v>37</v>
      </c>
      <c r="J134" s="5">
        <v>4</v>
      </c>
      <c r="K134" t="s">
        <v>541</v>
      </c>
      <c r="L134" t="s">
        <v>116</v>
      </c>
    </row>
    <row r="135" spans="1:12" x14ac:dyDescent="0.3">
      <c r="A135" t="s">
        <v>542</v>
      </c>
      <c r="B135" t="s">
        <v>543</v>
      </c>
      <c r="C135" t="s">
        <v>544</v>
      </c>
      <c r="D135" t="s">
        <v>539</v>
      </c>
      <c r="E135" t="s">
        <v>540</v>
      </c>
      <c r="I135" t="s">
        <v>37</v>
      </c>
      <c r="J135" s="5">
        <v>4</v>
      </c>
      <c r="K135" t="s">
        <v>541</v>
      </c>
      <c r="L135" t="s">
        <v>116</v>
      </c>
    </row>
    <row r="136" spans="1:12" x14ac:dyDescent="0.3">
      <c r="A136" t="s">
        <v>545</v>
      </c>
      <c r="B136" t="s">
        <v>546</v>
      </c>
      <c r="C136" t="s">
        <v>547</v>
      </c>
      <c r="D136" t="s">
        <v>539</v>
      </c>
      <c r="E136" t="s">
        <v>540</v>
      </c>
      <c r="I136" t="s">
        <v>37</v>
      </c>
      <c r="J136" s="5">
        <v>4</v>
      </c>
      <c r="K136" t="s">
        <v>541</v>
      </c>
      <c r="L136" t="s">
        <v>116</v>
      </c>
    </row>
    <row r="137" spans="1:12" x14ac:dyDescent="0.3">
      <c r="A137" t="s">
        <v>548</v>
      </c>
      <c r="B137" t="s">
        <v>549</v>
      </c>
      <c r="C137" t="s">
        <v>550</v>
      </c>
      <c r="D137" t="s">
        <v>539</v>
      </c>
      <c r="E137" t="s">
        <v>540</v>
      </c>
      <c r="I137" t="s">
        <v>37</v>
      </c>
      <c r="J137" s="5">
        <v>4</v>
      </c>
      <c r="K137" t="s">
        <v>541</v>
      </c>
      <c r="L137" t="s">
        <v>116</v>
      </c>
    </row>
    <row r="138" spans="1:12" x14ac:dyDescent="0.3">
      <c r="A138" t="s">
        <v>551</v>
      </c>
      <c r="B138" t="s">
        <v>552</v>
      </c>
      <c r="C138" t="s">
        <v>553</v>
      </c>
      <c r="D138" t="s">
        <v>539</v>
      </c>
      <c r="E138" t="s">
        <v>540</v>
      </c>
      <c r="I138" t="s">
        <v>37</v>
      </c>
      <c r="J138" s="5">
        <v>4</v>
      </c>
      <c r="K138" t="s">
        <v>541</v>
      </c>
      <c r="L138" t="s">
        <v>116</v>
      </c>
    </row>
    <row r="139" spans="1:12" x14ac:dyDescent="0.3">
      <c r="A139" t="s">
        <v>554</v>
      </c>
      <c r="B139" t="s">
        <v>555</v>
      </c>
      <c r="C139" t="s">
        <v>556</v>
      </c>
      <c r="D139" t="s">
        <v>539</v>
      </c>
      <c r="E139" t="s">
        <v>540</v>
      </c>
      <c r="I139" t="s">
        <v>37</v>
      </c>
      <c r="J139" s="5">
        <v>4</v>
      </c>
      <c r="K139" t="s">
        <v>541</v>
      </c>
      <c r="L139" t="s">
        <v>116</v>
      </c>
    </row>
    <row r="140" spans="1:12" x14ac:dyDescent="0.3">
      <c r="A140" t="s">
        <v>557</v>
      </c>
      <c r="B140" t="s">
        <v>558</v>
      </c>
      <c r="C140" t="s">
        <v>559</v>
      </c>
      <c r="D140" t="s">
        <v>539</v>
      </c>
      <c r="E140" t="s">
        <v>540</v>
      </c>
      <c r="I140" t="s">
        <v>37</v>
      </c>
      <c r="J140" s="5">
        <v>4</v>
      </c>
      <c r="K140" t="s">
        <v>541</v>
      </c>
      <c r="L140" t="s">
        <v>116</v>
      </c>
    </row>
    <row r="141" spans="1:12" x14ac:dyDescent="0.3">
      <c r="A141" t="s">
        <v>560</v>
      </c>
      <c r="B141" t="s">
        <v>561</v>
      </c>
      <c r="C141" t="s">
        <v>562</v>
      </c>
      <c r="D141" t="s">
        <v>539</v>
      </c>
      <c r="E141" t="s">
        <v>540</v>
      </c>
      <c r="I141" t="s">
        <v>37</v>
      </c>
      <c r="J141" s="5">
        <v>4</v>
      </c>
      <c r="K141" t="s">
        <v>541</v>
      </c>
      <c r="L141" t="s">
        <v>116</v>
      </c>
    </row>
    <row r="142" spans="1:12" x14ac:dyDescent="0.3">
      <c r="A142" t="s">
        <v>563</v>
      </c>
      <c r="B142" t="s">
        <v>564</v>
      </c>
      <c r="C142" t="s">
        <v>565</v>
      </c>
      <c r="D142" t="s">
        <v>539</v>
      </c>
      <c r="E142" t="s">
        <v>540</v>
      </c>
      <c r="I142" t="s">
        <v>37</v>
      </c>
      <c r="J142" s="5">
        <v>4</v>
      </c>
      <c r="K142" t="s">
        <v>541</v>
      </c>
      <c r="L142" t="s">
        <v>116</v>
      </c>
    </row>
    <row r="143" spans="1:12" x14ac:dyDescent="0.3">
      <c r="A143" t="s">
        <v>566</v>
      </c>
      <c r="B143" t="s">
        <v>567</v>
      </c>
      <c r="C143" t="s">
        <v>568</v>
      </c>
      <c r="D143" t="s">
        <v>539</v>
      </c>
      <c r="E143" t="s">
        <v>540</v>
      </c>
      <c r="I143" t="s">
        <v>37</v>
      </c>
      <c r="J143" s="5">
        <v>4</v>
      </c>
      <c r="K143" t="s">
        <v>541</v>
      </c>
      <c r="L143" t="s">
        <v>116</v>
      </c>
    </row>
    <row r="144" spans="1:12" x14ac:dyDescent="0.3">
      <c r="A144" t="s">
        <v>569</v>
      </c>
      <c r="B144" t="s">
        <v>570</v>
      </c>
      <c r="C144" t="s">
        <v>571</v>
      </c>
      <c r="D144" t="s">
        <v>539</v>
      </c>
      <c r="E144" t="s">
        <v>540</v>
      </c>
      <c r="I144" t="s">
        <v>37</v>
      </c>
      <c r="J144" s="5">
        <v>4</v>
      </c>
      <c r="K144" t="s">
        <v>541</v>
      </c>
      <c r="L144" t="s">
        <v>116</v>
      </c>
    </row>
    <row r="145" spans="1:12" x14ac:dyDescent="0.3">
      <c r="A145" t="s">
        <v>572</v>
      </c>
      <c r="B145" t="s">
        <v>573</v>
      </c>
      <c r="C145" t="s">
        <v>574</v>
      </c>
      <c r="D145" t="s">
        <v>539</v>
      </c>
      <c r="E145" t="s">
        <v>540</v>
      </c>
      <c r="I145" t="s">
        <v>37</v>
      </c>
      <c r="J145" s="5">
        <v>4</v>
      </c>
      <c r="K145" t="s">
        <v>541</v>
      </c>
      <c r="L145" t="s">
        <v>116</v>
      </c>
    </row>
    <row r="146" spans="1:12" x14ac:dyDescent="0.3">
      <c r="A146" t="s">
        <v>575</v>
      </c>
      <c r="B146" t="s">
        <v>576</v>
      </c>
      <c r="C146" t="s">
        <v>577</v>
      </c>
      <c r="D146" t="s">
        <v>539</v>
      </c>
      <c r="E146" t="s">
        <v>540</v>
      </c>
      <c r="I146" t="s">
        <v>37</v>
      </c>
      <c r="J146" s="5">
        <v>4</v>
      </c>
      <c r="K146" t="s">
        <v>541</v>
      </c>
      <c r="L146" t="s">
        <v>116</v>
      </c>
    </row>
    <row r="147" spans="1:12" x14ac:dyDescent="0.3">
      <c r="A147" t="s">
        <v>578</v>
      </c>
      <c r="B147" t="s">
        <v>579</v>
      </c>
      <c r="C147" t="s">
        <v>580</v>
      </c>
      <c r="D147" t="s">
        <v>539</v>
      </c>
      <c r="E147" t="s">
        <v>540</v>
      </c>
      <c r="I147" t="s">
        <v>37</v>
      </c>
      <c r="J147" s="5">
        <v>4</v>
      </c>
      <c r="K147" t="s">
        <v>541</v>
      </c>
      <c r="L147" t="s">
        <v>116</v>
      </c>
    </row>
    <row r="148" spans="1:12" x14ac:dyDescent="0.3">
      <c r="A148" t="s">
        <v>581</v>
      </c>
      <c r="B148" t="s">
        <v>582</v>
      </c>
      <c r="C148" t="s">
        <v>583</v>
      </c>
      <c r="D148" t="s">
        <v>539</v>
      </c>
      <c r="E148" t="s">
        <v>540</v>
      </c>
      <c r="I148" t="s">
        <v>37</v>
      </c>
      <c r="J148" s="5">
        <v>4</v>
      </c>
      <c r="K148" t="s">
        <v>541</v>
      </c>
      <c r="L148" t="s">
        <v>116</v>
      </c>
    </row>
    <row r="149" spans="1:12" x14ac:dyDescent="0.3">
      <c r="A149" t="s">
        <v>584</v>
      </c>
      <c r="B149" t="s">
        <v>585</v>
      </c>
      <c r="C149" t="s">
        <v>586</v>
      </c>
      <c r="D149" t="s">
        <v>539</v>
      </c>
      <c r="E149" t="s">
        <v>540</v>
      </c>
      <c r="I149" t="s">
        <v>37</v>
      </c>
      <c r="J149" s="5">
        <v>4</v>
      </c>
      <c r="K149" t="s">
        <v>541</v>
      </c>
      <c r="L149" t="s">
        <v>116</v>
      </c>
    </row>
    <row r="150" spans="1:12" x14ac:dyDescent="0.3">
      <c r="A150" t="s">
        <v>587</v>
      </c>
      <c r="B150" t="s">
        <v>588</v>
      </c>
      <c r="C150" t="s">
        <v>589</v>
      </c>
      <c r="D150" t="s">
        <v>539</v>
      </c>
      <c r="E150" t="s">
        <v>540</v>
      </c>
      <c r="I150" t="s">
        <v>37</v>
      </c>
      <c r="J150" s="5">
        <v>4</v>
      </c>
      <c r="K150" t="s">
        <v>541</v>
      </c>
      <c r="L150" t="s">
        <v>116</v>
      </c>
    </row>
    <row r="151" spans="1:12" x14ac:dyDescent="0.3">
      <c r="A151" t="s">
        <v>590</v>
      </c>
      <c r="B151" t="s">
        <v>591</v>
      </c>
      <c r="C151" t="s">
        <v>592</v>
      </c>
      <c r="D151" t="s">
        <v>539</v>
      </c>
      <c r="E151" t="s">
        <v>540</v>
      </c>
      <c r="I151" t="s">
        <v>37</v>
      </c>
      <c r="J151" s="5">
        <v>4</v>
      </c>
      <c r="K151" t="s">
        <v>541</v>
      </c>
      <c r="L151" t="s">
        <v>116</v>
      </c>
    </row>
    <row r="152" spans="1:12" x14ac:dyDescent="0.3">
      <c r="A152" t="s">
        <v>593</v>
      </c>
      <c r="B152" t="s">
        <v>594</v>
      </c>
      <c r="C152" t="s">
        <v>595</v>
      </c>
      <c r="D152" t="s">
        <v>596</v>
      </c>
      <c r="E152" t="s">
        <v>597</v>
      </c>
      <c r="I152" t="s">
        <v>53</v>
      </c>
      <c r="J152" s="5">
        <v>11</v>
      </c>
      <c r="K152" t="s">
        <v>598</v>
      </c>
      <c r="L152" t="s">
        <v>116</v>
      </c>
    </row>
    <row r="153" spans="1:12" x14ac:dyDescent="0.3">
      <c r="A153" t="s">
        <v>599</v>
      </c>
      <c r="B153" t="s">
        <v>600</v>
      </c>
      <c r="C153" t="s">
        <v>601</v>
      </c>
      <c r="D153" t="s">
        <v>596</v>
      </c>
      <c r="E153" t="s">
        <v>597</v>
      </c>
      <c r="I153" t="s">
        <v>53</v>
      </c>
      <c r="J153" s="5">
        <v>11</v>
      </c>
      <c r="K153" t="s">
        <v>598</v>
      </c>
      <c r="L153" t="s">
        <v>116</v>
      </c>
    </row>
    <row r="154" spans="1:12" x14ac:dyDescent="0.3">
      <c r="A154" t="s">
        <v>602</v>
      </c>
      <c r="B154" t="s">
        <v>603</v>
      </c>
      <c r="C154" t="s">
        <v>604</v>
      </c>
      <c r="D154" t="s">
        <v>596</v>
      </c>
      <c r="E154" t="s">
        <v>597</v>
      </c>
      <c r="I154" t="s">
        <v>53</v>
      </c>
      <c r="J154" s="5">
        <v>11</v>
      </c>
      <c r="K154" t="s">
        <v>598</v>
      </c>
      <c r="L154" t="s">
        <v>116</v>
      </c>
    </row>
    <row r="155" spans="1:12" x14ac:dyDescent="0.3">
      <c r="A155" t="s">
        <v>605</v>
      </c>
      <c r="B155" t="s">
        <v>606</v>
      </c>
      <c r="C155" t="s">
        <v>607</v>
      </c>
      <c r="D155" t="s">
        <v>596</v>
      </c>
      <c r="E155" t="s">
        <v>597</v>
      </c>
      <c r="I155" t="s">
        <v>53</v>
      </c>
      <c r="J155" s="5">
        <v>11</v>
      </c>
      <c r="K155" t="s">
        <v>598</v>
      </c>
      <c r="L155" t="s">
        <v>116</v>
      </c>
    </row>
    <row r="156" spans="1:12" x14ac:dyDescent="0.3">
      <c r="A156" t="s">
        <v>608</v>
      </c>
      <c r="B156" t="s">
        <v>609</v>
      </c>
      <c r="C156" t="s">
        <v>610</v>
      </c>
      <c r="D156" t="s">
        <v>596</v>
      </c>
      <c r="E156" t="s">
        <v>597</v>
      </c>
      <c r="I156" t="s">
        <v>53</v>
      </c>
      <c r="J156" s="5">
        <v>11</v>
      </c>
      <c r="K156" t="s">
        <v>598</v>
      </c>
      <c r="L156" t="s">
        <v>116</v>
      </c>
    </row>
    <row r="157" spans="1:12" x14ac:dyDescent="0.3">
      <c r="A157" t="s">
        <v>611</v>
      </c>
      <c r="B157" t="s">
        <v>567</v>
      </c>
      <c r="C157" t="s">
        <v>612</v>
      </c>
      <c r="D157" t="s">
        <v>596</v>
      </c>
      <c r="E157" t="s">
        <v>597</v>
      </c>
      <c r="I157" t="s">
        <v>53</v>
      </c>
      <c r="J157" s="5">
        <v>11</v>
      </c>
      <c r="K157" t="s">
        <v>598</v>
      </c>
      <c r="L157" t="s">
        <v>116</v>
      </c>
    </row>
    <row r="158" spans="1:12" x14ac:dyDescent="0.3">
      <c r="A158" t="s">
        <v>613</v>
      </c>
      <c r="B158" t="s">
        <v>614</v>
      </c>
      <c r="C158" t="s">
        <v>615</v>
      </c>
      <c r="D158" t="s">
        <v>596</v>
      </c>
      <c r="E158" t="s">
        <v>597</v>
      </c>
      <c r="I158" t="s">
        <v>53</v>
      </c>
      <c r="J158" s="5">
        <v>11</v>
      </c>
      <c r="K158" t="s">
        <v>598</v>
      </c>
      <c r="L158" t="s">
        <v>116</v>
      </c>
    </row>
    <row r="159" spans="1:12" x14ac:dyDescent="0.3">
      <c r="A159" t="s">
        <v>616</v>
      </c>
      <c r="B159" t="s">
        <v>617</v>
      </c>
      <c r="C159" t="s">
        <v>618</v>
      </c>
      <c r="D159" t="s">
        <v>596</v>
      </c>
      <c r="E159" t="s">
        <v>619</v>
      </c>
      <c r="I159" t="s">
        <v>53</v>
      </c>
      <c r="J159" s="5">
        <v>9</v>
      </c>
      <c r="K159" t="s">
        <v>598</v>
      </c>
      <c r="L159" t="s">
        <v>116</v>
      </c>
    </row>
    <row r="160" spans="1:12" x14ac:dyDescent="0.3">
      <c r="A160" t="s">
        <v>620</v>
      </c>
      <c r="B160" t="s">
        <v>621</v>
      </c>
      <c r="C160" t="s">
        <v>622</v>
      </c>
      <c r="D160" t="s">
        <v>596</v>
      </c>
      <c r="E160" t="s">
        <v>619</v>
      </c>
      <c r="I160" t="s">
        <v>53</v>
      </c>
      <c r="J160" s="5">
        <v>9</v>
      </c>
      <c r="K160" t="s">
        <v>598</v>
      </c>
      <c r="L160" t="s">
        <v>116</v>
      </c>
    </row>
    <row r="161" spans="1:12" x14ac:dyDescent="0.3">
      <c r="A161" t="s">
        <v>623</v>
      </c>
      <c r="B161" t="s">
        <v>624</v>
      </c>
      <c r="C161" t="s">
        <v>625</v>
      </c>
      <c r="D161" t="s">
        <v>596</v>
      </c>
      <c r="E161" t="s">
        <v>619</v>
      </c>
      <c r="I161" t="s">
        <v>53</v>
      </c>
      <c r="J161" s="5">
        <v>9</v>
      </c>
      <c r="K161" t="s">
        <v>598</v>
      </c>
      <c r="L161" t="s">
        <v>116</v>
      </c>
    </row>
    <row r="162" spans="1:12" x14ac:dyDescent="0.3">
      <c r="A162" t="s">
        <v>626</v>
      </c>
      <c r="B162" t="s">
        <v>627</v>
      </c>
      <c r="C162" t="s">
        <v>628</v>
      </c>
      <c r="D162" t="s">
        <v>596</v>
      </c>
      <c r="E162" t="s">
        <v>619</v>
      </c>
      <c r="I162" t="s">
        <v>53</v>
      </c>
      <c r="J162" s="5">
        <v>9</v>
      </c>
      <c r="K162" t="s">
        <v>598</v>
      </c>
      <c r="L162" t="s">
        <v>116</v>
      </c>
    </row>
    <row r="163" spans="1:12" x14ac:dyDescent="0.3">
      <c r="A163" t="s">
        <v>629</v>
      </c>
      <c r="B163" t="s">
        <v>630</v>
      </c>
      <c r="C163" t="s">
        <v>631</v>
      </c>
      <c r="D163" t="s">
        <v>596</v>
      </c>
      <c r="E163" t="s">
        <v>619</v>
      </c>
      <c r="I163" t="s">
        <v>53</v>
      </c>
      <c r="J163" s="5">
        <v>9</v>
      </c>
      <c r="K163" t="s">
        <v>598</v>
      </c>
      <c r="L163" t="s">
        <v>116</v>
      </c>
    </row>
    <row r="164" spans="1:12" x14ac:dyDescent="0.3">
      <c r="A164" t="s">
        <v>632</v>
      </c>
      <c r="B164" t="s">
        <v>582</v>
      </c>
      <c r="C164" t="s">
        <v>633</v>
      </c>
      <c r="D164" t="s">
        <v>596</v>
      </c>
      <c r="E164" t="s">
        <v>619</v>
      </c>
      <c r="I164" t="s">
        <v>53</v>
      </c>
      <c r="J164" s="5">
        <v>9</v>
      </c>
      <c r="K164" t="s">
        <v>598</v>
      </c>
      <c r="L164" t="s">
        <v>116</v>
      </c>
    </row>
    <row r="165" spans="1:12" x14ac:dyDescent="0.3">
      <c r="A165" t="s">
        <v>634</v>
      </c>
      <c r="B165" t="s">
        <v>585</v>
      </c>
      <c r="C165" t="s">
        <v>635</v>
      </c>
      <c r="D165" t="s">
        <v>596</v>
      </c>
      <c r="E165" t="s">
        <v>619</v>
      </c>
      <c r="I165" t="s">
        <v>53</v>
      </c>
      <c r="J165" s="5">
        <v>9</v>
      </c>
      <c r="K165" t="s">
        <v>598</v>
      </c>
      <c r="L165" t="s">
        <v>116</v>
      </c>
    </row>
    <row r="166" spans="1:12" x14ac:dyDescent="0.3">
      <c r="A166" t="s">
        <v>636</v>
      </c>
      <c r="B166" t="s">
        <v>637</v>
      </c>
      <c r="C166" t="s">
        <v>638</v>
      </c>
      <c r="D166" t="s">
        <v>596</v>
      </c>
      <c r="E166" t="s">
        <v>619</v>
      </c>
      <c r="I166" t="s">
        <v>53</v>
      </c>
      <c r="J166" s="5">
        <v>9</v>
      </c>
      <c r="K166" t="s">
        <v>598</v>
      </c>
      <c r="L166" t="s">
        <v>116</v>
      </c>
    </row>
    <row r="167" spans="1:12" x14ac:dyDescent="0.3">
      <c r="A167" t="s">
        <v>639</v>
      </c>
      <c r="B167" t="s">
        <v>640</v>
      </c>
      <c r="C167" t="s">
        <v>641</v>
      </c>
      <c r="D167" t="s">
        <v>596</v>
      </c>
      <c r="E167" t="s">
        <v>619</v>
      </c>
      <c r="I167" t="s">
        <v>53</v>
      </c>
      <c r="J167" s="5">
        <v>9</v>
      </c>
      <c r="K167" t="s">
        <v>598</v>
      </c>
      <c r="L167" t="s">
        <v>116</v>
      </c>
    </row>
    <row r="168" spans="1:12" x14ac:dyDescent="0.3">
      <c r="A168" t="s">
        <v>642</v>
      </c>
      <c r="B168" t="s">
        <v>643</v>
      </c>
      <c r="C168" t="s">
        <v>644</v>
      </c>
      <c r="D168" t="s">
        <v>645</v>
      </c>
      <c r="E168" t="s">
        <v>114</v>
      </c>
      <c r="I168" t="s">
        <v>53</v>
      </c>
      <c r="J168" s="5">
        <v>9</v>
      </c>
      <c r="K168" t="s">
        <v>646</v>
      </c>
      <c r="L168" t="s">
        <v>116</v>
      </c>
    </row>
    <row r="169" spans="1:12" x14ac:dyDescent="0.3">
      <c r="A169" t="s">
        <v>647</v>
      </c>
      <c r="B169" t="s">
        <v>648</v>
      </c>
      <c r="C169" t="s">
        <v>649</v>
      </c>
      <c r="D169" t="s">
        <v>645</v>
      </c>
      <c r="E169" t="s">
        <v>140</v>
      </c>
      <c r="I169" t="s">
        <v>53</v>
      </c>
      <c r="J169" s="5">
        <v>9</v>
      </c>
      <c r="K169" t="s">
        <v>646</v>
      </c>
      <c r="L169" t="s">
        <v>116</v>
      </c>
    </row>
    <row r="170" spans="1:12" x14ac:dyDescent="0.3">
      <c r="A170" t="s">
        <v>650</v>
      </c>
      <c r="B170" t="s">
        <v>651</v>
      </c>
      <c r="C170" t="s">
        <v>652</v>
      </c>
      <c r="D170" t="s">
        <v>645</v>
      </c>
      <c r="E170" t="s">
        <v>120</v>
      </c>
      <c r="I170" t="s">
        <v>53</v>
      </c>
      <c r="J170" s="5">
        <v>9</v>
      </c>
      <c r="K170" t="s">
        <v>646</v>
      </c>
      <c r="L170" t="s">
        <v>116</v>
      </c>
    </row>
    <row r="171" spans="1:12" x14ac:dyDescent="0.3">
      <c r="A171" t="s">
        <v>653</v>
      </c>
      <c r="B171" t="s">
        <v>176</v>
      </c>
      <c r="C171" t="s">
        <v>654</v>
      </c>
      <c r="D171" t="s">
        <v>645</v>
      </c>
      <c r="E171" t="s">
        <v>120</v>
      </c>
      <c r="I171" t="s">
        <v>53</v>
      </c>
      <c r="J171" s="5">
        <v>9</v>
      </c>
      <c r="K171" t="s">
        <v>646</v>
      </c>
      <c r="L171" t="s">
        <v>116</v>
      </c>
    </row>
    <row r="172" spans="1:12" x14ac:dyDescent="0.3">
      <c r="A172" t="s">
        <v>655</v>
      </c>
      <c r="B172" t="s">
        <v>656</v>
      </c>
      <c r="C172" t="s">
        <v>657</v>
      </c>
      <c r="D172" t="s">
        <v>645</v>
      </c>
      <c r="E172" t="s">
        <v>187</v>
      </c>
      <c r="I172" t="s">
        <v>53</v>
      </c>
      <c r="J172" s="5">
        <v>9</v>
      </c>
      <c r="K172" t="s">
        <v>646</v>
      </c>
      <c r="L172" t="s">
        <v>116</v>
      </c>
    </row>
    <row r="173" spans="1:12" x14ac:dyDescent="0.3">
      <c r="A173" t="s">
        <v>658</v>
      </c>
      <c r="B173" t="s">
        <v>659</v>
      </c>
      <c r="C173" t="s">
        <v>660</v>
      </c>
      <c r="D173" t="s">
        <v>661</v>
      </c>
      <c r="E173" t="s">
        <v>300</v>
      </c>
      <c r="I173" t="s">
        <v>53</v>
      </c>
      <c r="J173" s="5">
        <v>9</v>
      </c>
      <c r="K173" t="s">
        <v>646</v>
      </c>
      <c r="L173" t="s">
        <v>116</v>
      </c>
    </row>
    <row r="174" spans="1:12" x14ac:dyDescent="0.3">
      <c r="A174" t="s">
        <v>662</v>
      </c>
      <c r="B174" t="s">
        <v>627</v>
      </c>
      <c r="C174" t="s">
        <v>628</v>
      </c>
      <c r="D174" t="s">
        <v>661</v>
      </c>
      <c r="E174" t="s">
        <v>328</v>
      </c>
      <c r="I174" t="s">
        <v>53</v>
      </c>
      <c r="J174" s="5">
        <v>9</v>
      </c>
      <c r="K174" t="s">
        <v>646</v>
      </c>
      <c r="L174" t="s">
        <v>116</v>
      </c>
    </row>
    <row r="175" spans="1:12" x14ac:dyDescent="0.3">
      <c r="A175" t="s">
        <v>663</v>
      </c>
      <c r="B175" t="s">
        <v>664</v>
      </c>
      <c r="C175" t="s">
        <v>665</v>
      </c>
      <c r="D175" t="s">
        <v>661</v>
      </c>
      <c r="E175" t="s">
        <v>666</v>
      </c>
      <c r="I175" t="s">
        <v>53</v>
      </c>
      <c r="J175" s="5">
        <v>9</v>
      </c>
      <c r="K175" t="s">
        <v>646</v>
      </c>
      <c r="L175" t="s">
        <v>116</v>
      </c>
    </row>
    <row r="176" spans="1:12" x14ac:dyDescent="0.3">
      <c r="A176" t="s">
        <v>667</v>
      </c>
      <c r="B176" t="s">
        <v>668</v>
      </c>
      <c r="C176" t="s">
        <v>669</v>
      </c>
      <c r="D176" t="s">
        <v>670</v>
      </c>
      <c r="E176" t="s">
        <v>130</v>
      </c>
      <c r="I176" t="s">
        <v>53</v>
      </c>
      <c r="J176" s="5">
        <v>9</v>
      </c>
      <c r="K176" t="s">
        <v>646</v>
      </c>
      <c r="L176" t="s">
        <v>116</v>
      </c>
    </row>
    <row r="177" spans="1:12" x14ac:dyDescent="0.3">
      <c r="A177" t="s">
        <v>671</v>
      </c>
      <c r="B177" t="s">
        <v>659</v>
      </c>
      <c r="C177" t="s">
        <v>672</v>
      </c>
      <c r="D177" t="s">
        <v>670</v>
      </c>
      <c r="E177" t="s">
        <v>300</v>
      </c>
      <c r="I177" t="s">
        <v>53</v>
      </c>
      <c r="J177" s="5">
        <v>9</v>
      </c>
      <c r="K177" t="s">
        <v>646</v>
      </c>
      <c r="L177" t="s">
        <v>116</v>
      </c>
    </row>
    <row r="178" spans="1:12" x14ac:dyDescent="0.3">
      <c r="A178" t="s">
        <v>673</v>
      </c>
      <c r="B178" t="s">
        <v>627</v>
      </c>
      <c r="C178" t="s">
        <v>674</v>
      </c>
      <c r="D178" t="s">
        <v>670</v>
      </c>
      <c r="E178" t="s">
        <v>328</v>
      </c>
      <c r="I178" t="s">
        <v>53</v>
      </c>
      <c r="J178" s="5">
        <v>9</v>
      </c>
      <c r="K178" t="s">
        <v>646</v>
      </c>
      <c r="L178" t="s">
        <v>116</v>
      </c>
    </row>
    <row r="179" spans="1:12" x14ac:dyDescent="0.3">
      <c r="A179" t="s">
        <v>675</v>
      </c>
      <c r="B179" t="s">
        <v>664</v>
      </c>
      <c r="C179" t="s">
        <v>665</v>
      </c>
      <c r="D179" t="s">
        <v>670</v>
      </c>
      <c r="E179" t="s">
        <v>666</v>
      </c>
      <c r="I179" t="s">
        <v>53</v>
      </c>
      <c r="J179" s="5">
        <v>9</v>
      </c>
      <c r="K179" t="s">
        <v>646</v>
      </c>
      <c r="L179" t="s">
        <v>116</v>
      </c>
    </row>
    <row r="180" spans="1:12" x14ac:dyDescent="0.3">
      <c r="A180" t="s">
        <v>676</v>
      </c>
      <c r="B180" t="s">
        <v>677</v>
      </c>
      <c r="C180" t="s">
        <v>678</v>
      </c>
      <c r="D180" t="s">
        <v>670</v>
      </c>
      <c r="E180" t="s">
        <v>477</v>
      </c>
      <c r="I180" t="s">
        <v>53</v>
      </c>
      <c r="J180" s="5">
        <v>9</v>
      </c>
      <c r="K180" t="s">
        <v>646</v>
      </c>
      <c r="L180" t="s">
        <v>116</v>
      </c>
    </row>
    <row r="181" spans="1:12" x14ac:dyDescent="0.3">
      <c r="A181" t="s">
        <v>679</v>
      </c>
      <c r="B181" t="s">
        <v>680</v>
      </c>
      <c r="C181" t="s">
        <v>681</v>
      </c>
      <c r="D181" t="s">
        <v>682</v>
      </c>
      <c r="E181" t="s">
        <v>680</v>
      </c>
      <c r="H181" t="s">
        <v>680</v>
      </c>
      <c r="I181" t="s">
        <v>37</v>
      </c>
      <c r="J181" s="5">
        <v>6</v>
      </c>
      <c r="K181" t="s">
        <v>683</v>
      </c>
      <c r="L181" t="s">
        <v>116</v>
      </c>
    </row>
    <row r="182" spans="1:12" x14ac:dyDescent="0.3">
      <c r="A182" t="s">
        <v>684</v>
      </c>
      <c r="B182" t="s">
        <v>685</v>
      </c>
      <c r="C182" t="s">
        <v>686</v>
      </c>
      <c r="D182" t="s">
        <v>682</v>
      </c>
      <c r="E182" t="s">
        <v>680</v>
      </c>
      <c r="H182" t="s">
        <v>680</v>
      </c>
      <c r="I182" t="s">
        <v>37</v>
      </c>
      <c r="J182" s="5">
        <v>6</v>
      </c>
      <c r="K182" t="s">
        <v>683</v>
      </c>
      <c r="L182" t="s">
        <v>116</v>
      </c>
    </row>
    <row r="183" spans="1:12" x14ac:dyDescent="0.3">
      <c r="A183" t="s">
        <v>687</v>
      </c>
      <c r="B183" t="s">
        <v>688</v>
      </c>
      <c r="C183" t="s">
        <v>689</v>
      </c>
      <c r="D183" t="s">
        <v>682</v>
      </c>
      <c r="E183" t="s">
        <v>680</v>
      </c>
      <c r="H183" t="s">
        <v>680</v>
      </c>
      <c r="I183" t="s">
        <v>37</v>
      </c>
      <c r="J183" s="5">
        <v>6</v>
      </c>
      <c r="K183" t="s">
        <v>683</v>
      </c>
      <c r="L183" t="s">
        <v>116</v>
      </c>
    </row>
    <row r="184" spans="1:12" x14ac:dyDescent="0.3">
      <c r="A184" t="s">
        <v>690</v>
      </c>
      <c r="B184" t="s">
        <v>691</v>
      </c>
      <c r="C184" t="s">
        <v>692</v>
      </c>
      <c r="D184" t="s">
        <v>682</v>
      </c>
      <c r="E184" t="s">
        <v>693</v>
      </c>
      <c r="H184" t="s">
        <v>693</v>
      </c>
      <c r="I184" t="s">
        <v>37</v>
      </c>
      <c r="J184" s="5">
        <v>6</v>
      </c>
      <c r="K184" t="s">
        <v>683</v>
      </c>
      <c r="L184" t="s">
        <v>116</v>
      </c>
    </row>
    <row r="185" spans="1:12" x14ac:dyDescent="0.3">
      <c r="A185" t="s">
        <v>694</v>
      </c>
      <c r="B185" t="s">
        <v>695</v>
      </c>
      <c r="C185" t="s">
        <v>692</v>
      </c>
      <c r="D185" t="s">
        <v>682</v>
      </c>
      <c r="E185" t="s">
        <v>693</v>
      </c>
      <c r="H185" t="s">
        <v>693</v>
      </c>
      <c r="I185" t="s">
        <v>37</v>
      </c>
      <c r="J185" s="5">
        <v>6</v>
      </c>
      <c r="K185" t="s">
        <v>683</v>
      </c>
      <c r="L185" t="s">
        <v>116</v>
      </c>
    </row>
    <row r="186" spans="1:12" x14ac:dyDescent="0.3">
      <c r="A186" t="s">
        <v>696</v>
      </c>
      <c r="B186" t="s">
        <v>697</v>
      </c>
      <c r="C186" t="s">
        <v>692</v>
      </c>
      <c r="D186" t="s">
        <v>682</v>
      </c>
      <c r="E186" t="s">
        <v>693</v>
      </c>
      <c r="H186" t="s">
        <v>693</v>
      </c>
      <c r="I186" t="s">
        <v>37</v>
      </c>
      <c r="J186" s="5">
        <v>6</v>
      </c>
      <c r="K186" t="s">
        <v>683</v>
      </c>
      <c r="L186" t="s">
        <v>116</v>
      </c>
    </row>
    <row r="187" spans="1:12" x14ac:dyDescent="0.3">
      <c r="A187" t="s">
        <v>698</v>
      </c>
      <c r="B187" t="s">
        <v>699</v>
      </c>
      <c r="C187" t="s">
        <v>700</v>
      </c>
      <c r="D187" t="s">
        <v>682</v>
      </c>
      <c r="E187" t="s">
        <v>693</v>
      </c>
      <c r="H187" t="s">
        <v>693</v>
      </c>
      <c r="I187" t="s">
        <v>37</v>
      </c>
      <c r="J187" s="5">
        <v>6</v>
      </c>
      <c r="K187" t="s">
        <v>683</v>
      </c>
      <c r="L187" t="s">
        <v>116</v>
      </c>
    </row>
    <row r="188" spans="1:12" x14ac:dyDescent="0.3">
      <c r="A188" t="s">
        <v>701</v>
      </c>
      <c r="B188" t="s">
        <v>702</v>
      </c>
      <c r="C188" t="s">
        <v>703</v>
      </c>
      <c r="D188" t="s">
        <v>682</v>
      </c>
      <c r="E188" t="s">
        <v>693</v>
      </c>
      <c r="H188" t="s">
        <v>693</v>
      </c>
      <c r="I188" t="s">
        <v>37</v>
      </c>
      <c r="J188" s="5">
        <v>6</v>
      </c>
      <c r="K188" t="s">
        <v>683</v>
      </c>
      <c r="L188" t="s">
        <v>116</v>
      </c>
    </row>
    <row r="189" spans="1:12" x14ac:dyDescent="0.3">
      <c r="A189" t="s">
        <v>704</v>
      </c>
      <c r="B189" t="s">
        <v>705</v>
      </c>
      <c r="C189" t="s">
        <v>706</v>
      </c>
      <c r="D189" t="s">
        <v>682</v>
      </c>
      <c r="E189" t="s">
        <v>705</v>
      </c>
      <c r="H189" t="s">
        <v>705</v>
      </c>
      <c r="I189" t="s">
        <v>37</v>
      </c>
      <c r="J189" s="5">
        <v>6</v>
      </c>
      <c r="K189" t="s">
        <v>683</v>
      </c>
      <c r="L189" t="s">
        <v>116</v>
      </c>
    </row>
    <row r="190" spans="1:12" x14ac:dyDescent="0.3">
      <c r="A190" t="s">
        <v>707</v>
      </c>
      <c r="B190" t="s">
        <v>708</v>
      </c>
      <c r="C190" t="s">
        <v>709</v>
      </c>
      <c r="D190" t="s">
        <v>682</v>
      </c>
      <c r="E190" t="s">
        <v>705</v>
      </c>
      <c r="H190" t="s">
        <v>705</v>
      </c>
      <c r="I190" t="s">
        <v>37</v>
      </c>
      <c r="J190" s="5">
        <v>6</v>
      </c>
      <c r="K190" t="s">
        <v>683</v>
      </c>
      <c r="L190" t="s">
        <v>116</v>
      </c>
    </row>
    <row r="191" spans="1:12" x14ac:dyDescent="0.3">
      <c r="A191" t="s">
        <v>710</v>
      </c>
      <c r="B191" t="s">
        <v>711</v>
      </c>
      <c r="C191" t="s">
        <v>712</v>
      </c>
      <c r="D191" t="s">
        <v>682</v>
      </c>
      <c r="E191" t="s">
        <v>705</v>
      </c>
      <c r="H191" t="s">
        <v>705</v>
      </c>
      <c r="I191" t="s">
        <v>37</v>
      </c>
      <c r="J191" s="5">
        <v>6</v>
      </c>
      <c r="K191" t="s">
        <v>683</v>
      </c>
      <c r="L191" t="s">
        <v>116</v>
      </c>
    </row>
    <row r="192" spans="1:12" x14ac:dyDescent="0.3">
      <c r="A192" t="s">
        <v>713</v>
      </c>
      <c r="B192" t="s">
        <v>714</v>
      </c>
      <c r="C192" t="s">
        <v>715</v>
      </c>
      <c r="D192" t="s">
        <v>716</v>
      </c>
      <c r="E192" t="s">
        <v>717</v>
      </c>
      <c r="H192" t="s">
        <v>717</v>
      </c>
      <c r="I192" t="s">
        <v>37</v>
      </c>
      <c r="J192" s="5">
        <v>6</v>
      </c>
      <c r="K192" t="s">
        <v>683</v>
      </c>
      <c r="L192" t="s">
        <v>116</v>
      </c>
    </row>
    <row r="193" spans="1:12" x14ac:dyDescent="0.3">
      <c r="A193" t="s">
        <v>718</v>
      </c>
      <c r="B193" t="s">
        <v>719</v>
      </c>
      <c r="C193" t="s">
        <v>720</v>
      </c>
      <c r="D193" t="s">
        <v>716</v>
      </c>
      <c r="E193" t="s">
        <v>717</v>
      </c>
      <c r="H193" t="s">
        <v>717</v>
      </c>
      <c r="I193" t="s">
        <v>37</v>
      </c>
      <c r="J193" s="5">
        <v>6</v>
      </c>
      <c r="K193" t="s">
        <v>683</v>
      </c>
      <c r="L193" t="s">
        <v>116</v>
      </c>
    </row>
    <row r="194" spans="1:12" x14ac:dyDescent="0.3">
      <c r="A194" t="s">
        <v>721</v>
      </c>
      <c r="B194" t="s">
        <v>722</v>
      </c>
      <c r="C194" t="s">
        <v>723</v>
      </c>
      <c r="D194" t="s">
        <v>716</v>
      </c>
      <c r="E194" t="s">
        <v>724</v>
      </c>
      <c r="H194" t="s">
        <v>724</v>
      </c>
      <c r="I194" t="s">
        <v>37</v>
      </c>
      <c r="J194" s="5">
        <v>6</v>
      </c>
      <c r="K194" t="s">
        <v>683</v>
      </c>
      <c r="L194" t="s">
        <v>116</v>
      </c>
    </row>
    <row r="195" spans="1:12" x14ac:dyDescent="0.3">
      <c r="A195" t="s">
        <v>725</v>
      </c>
      <c r="B195" t="s">
        <v>726</v>
      </c>
      <c r="C195" t="s">
        <v>727</v>
      </c>
      <c r="D195" t="s">
        <v>716</v>
      </c>
      <c r="E195" t="s">
        <v>724</v>
      </c>
      <c r="H195" t="s">
        <v>724</v>
      </c>
      <c r="I195" t="s">
        <v>37</v>
      </c>
      <c r="J195" s="5">
        <v>6</v>
      </c>
      <c r="K195" t="s">
        <v>683</v>
      </c>
      <c r="L195" t="s">
        <v>116</v>
      </c>
    </row>
    <row r="196" spans="1:12" x14ac:dyDescent="0.3">
      <c r="A196" t="s">
        <v>728</v>
      </c>
      <c r="B196" t="s">
        <v>729</v>
      </c>
      <c r="C196" t="s">
        <v>730</v>
      </c>
      <c r="D196" t="s">
        <v>716</v>
      </c>
      <c r="E196" t="s">
        <v>731</v>
      </c>
      <c r="H196" t="s">
        <v>731</v>
      </c>
      <c r="I196" t="s">
        <v>37</v>
      </c>
      <c r="J196" s="5">
        <v>6</v>
      </c>
      <c r="K196" t="s">
        <v>683</v>
      </c>
      <c r="L196" t="s">
        <v>116</v>
      </c>
    </row>
    <row r="197" spans="1:12" x14ac:dyDescent="0.3">
      <c r="A197" t="s">
        <v>732</v>
      </c>
      <c r="B197" t="s">
        <v>733</v>
      </c>
      <c r="C197" t="s">
        <v>734</v>
      </c>
      <c r="D197" t="s">
        <v>716</v>
      </c>
      <c r="E197" t="s">
        <v>735</v>
      </c>
      <c r="H197" t="s">
        <v>735</v>
      </c>
      <c r="I197" t="s">
        <v>37</v>
      </c>
      <c r="J197" s="5">
        <v>6</v>
      </c>
      <c r="K197" t="s">
        <v>683</v>
      </c>
      <c r="L197" t="s">
        <v>116</v>
      </c>
    </row>
    <row r="198" spans="1:12" x14ac:dyDescent="0.3">
      <c r="A198" t="s">
        <v>736</v>
      </c>
      <c r="B198" t="s">
        <v>737</v>
      </c>
      <c r="C198" t="s">
        <v>738</v>
      </c>
      <c r="D198" t="s">
        <v>716</v>
      </c>
      <c r="E198" t="s">
        <v>739</v>
      </c>
      <c r="H198" t="s">
        <v>739</v>
      </c>
      <c r="I198" t="s">
        <v>37</v>
      </c>
      <c r="J198" s="5">
        <v>6</v>
      </c>
      <c r="K198" t="s">
        <v>683</v>
      </c>
      <c r="L198" t="s">
        <v>116</v>
      </c>
    </row>
    <row r="199" spans="1:12" x14ac:dyDescent="0.3">
      <c r="A199" t="s">
        <v>740</v>
      </c>
      <c r="B199" t="s">
        <v>741</v>
      </c>
      <c r="C199" t="s">
        <v>742</v>
      </c>
      <c r="D199" t="s">
        <v>716</v>
      </c>
      <c r="E199" t="s">
        <v>743</v>
      </c>
      <c r="H199" t="s">
        <v>743</v>
      </c>
      <c r="I199" t="s">
        <v>37</v>
      </c>
      <c r="J199" s="5">
        <v>6</v>
      </c>
      <c r="K199" t="s">
        <v>683</v>
      </c>
      <c r="L199" t="s">
        <v>116</v>
      </c>
    </row>
    <row r="200" spans="1:12" x14ac:dyDescent="0.3">
      <c r="A200" t="s">
        <v>744</v>
      </c>
      <c r="B200" t="s">
        <v>693</v>
      </c>
      <c r="C200" t="s">
        <v>692</v>
      </c>
      <c r="D200" t="s">
        <v>745</v>
      </c>
      <c r="E200" t="s">
        <v>746</v>
      </c>
      <c r="H200" t="s">
        <v>747</v>
      </c>
      <c r="I200" t="s">
        <v>37</v>
      </c>
      <c r="J200" s="5">
        <v>2</v>
      </c>
      <c r="K200" t="s">
        <v>748</v>
      </c>
      <c r="L200" t="s">
        <v>116</v>
      </c>
    </row>
    <row r="201" spans="1:12" x14ac:dyDescent="0.3">
      <c r="A201" t="s">
        <v>749</v>
      </c>
      <c r="B201" t="s">
        <v>750</v>
      </c>
      <c r="C201" t="s">
        <v>751</v>
      </c>
      <c r="D201" t="s">
        <v>745</v>
      </c>
      <c r="E201" t="s">
        <v>746</v>
      </c>
      <c r="H201" t="s">
        <v>747</v>
      </c>
      <c r="I201" t="s">
        <v>37</v>
      </c>
      <c r="J201" s="5">
        <v>2</v>
      </c>
      <c r="K201" t="s">
        <v>748</v>
      </c>
      <c r="L201" t="s">
        <v>116</v>
      </c>
    </row>
    <row r="202" spans="1:12" x14ac:dyDescent="0.3">
      <c r="A202" t="s">
        <v>752</v>
      </c>
      <c r="B202" t="s">
        <v>753</v>
      </c>
      <c r="C202" t="s">
        <v>754</v>
      </c>
      <c r="D202" t="s">
        <v>745</v>
      </c>
      <c r="E202" t="s">
        <v>746</v>
      </c>
      <c r="H202" t="s">
        <v>747</v>
      </c>
      <c r="I202" t="s">
        <v>37</v>
      </c>
      <c r="J202" s="5">
        <v>2</v>
      </c>
      <c r="K202" t="s">
        <v>748</v>
      </c>
      <c r="L202" t="s">
        <v>116</v>
      </c>
    </row>
    <row r="203" spans="1:12" x14ac:dyDescent="0.3">
      <c r="A203" t="s">
        <v>755</v>
      </c>
      <c r="B203" t="s">
        <v>756</v>
      </c>
      <c r="C203" t="s">
        <v>757</v>
      </c>
      <c r="D203" t="s">
        <v>745</v>
      </c>
      <c r="E203" t="s">
        <v>746</v>
      </c>
      <c r="H203" t="s">
        <v>747</v>
      </c>
      <c r="I203" t="s">
        <v>37</v>
      </c>
      <c r="J203" s="5">
        <v>2</v>
      </c>
      <c r="K203" t="s">
        <v>748</v>
      </c>
      <c r="L203" t="s">
        <v>116</v>
      </c>
    </row>
    <row r="204" spans="1:12" x14ac:dyDescent="0.3">
      <c r="A204" t="s">
        <v>758</v>
      </c>
      <c r="B204" t="s">
        <v>759</v>
      </c>
      <c r="C204" t="s">
        <v>760</v>
      </c>
      <c r="D204" t="s">
        <v>745</v>
      </c>
      <c r="E204" t="s">
        <v>746</v>
      </c>
      <c r="H204" t="s">
        <v>761</v>
      </c>
      <c r="I204" t="s">
        <v>37</v>
      </c>
      <c r="J204" s="5">
        <v>3</v>
      </c>
      <c r="K204" t="s">
        <v>748</v>
      </c>
      <c r="L204" t="s">
        <v>116</v>
      </c>
    </row>
    <row r="205" spans="1:12" x14ac:dyDescent="0.3">
      <c r="A205" t="s">
        <v>762</v>
      </c>
      <c r="B205" t="s">
        <v>763</v>
      </c>
      <c r="C205" t="s">
        <v>764</v>
      </c>
      <c r="D205" t="s">
        <v>745</v>
      </c>
      <c r="E205" t="s">
        <v>746</v>
      </c>
      <c r="H205" t="s">
        <v>761</v>
      </c>
      <c r="I205" t="s">
        <v>37</v>
      </c>
      <c r="J205" s="5">
        <v>3</v>
      </c>
      <c r="K205" t="s">
        <v>748</v>
      </c>
      <c r="L205" t="s">
        <v>116</v>
      </c>
    </row>
    <row r="206" spans="1:12" x14ac:dyDescent="0.3">
      <c r="A206" t="s">
        <v>765</v>
      </c>
      <c r="B206" t="s">
        <v>766</v>
      </c>
      <c r="C206" t="s">
        <v>767</v>
      </c>
      <c r="D206" t="s">
        <v>745</v>
      </c>
      <c r="E206" t="s">
        <v>746</v>
      </c>
      <c r="H206" t="s">
        <v>761</v>
      </c>
      <c r="I206" t="s">
        <v>37</v>
      </c>
      <c r="J206" s="5">
        <v>3</v>
      </c>
      <c r="K206" t="s">
        <v>748</v>
      </c>
      <c r="L206" t="s">
        <v>116</v>
      </c>
    </row>
    <row r="207" spans="1:12" x14ac:dyDescent="0.3">
      <c r="A207" t="s">
        <v>768</v>
      </c>
      <c r="B207" t="s">
        <v>769</v>
      </c>
      <c r="C207" t="s">
        <v>770</v>
      </c>
      <c r="D207" t="s">
        <v>745</v>
      </c>
      <c r="E207" t="s">
        <v>746</v>
      </c>
      <c r="H207" t="s">
        <v>761</v>
      </c>
      <c r="I207" t="s">
        <v>37</v>
      </c>
      <c r="J207" s="5">
        <v>3</v>
      </c>
      <c r="K207" t="s">
        <v>748</v>
      </c>
      <c r="L207" t="s">
        <v>116</v>
      </c>
    </row>
    <row r="208" spans="1:12" x14ac:dyDescent="0.3">
      <c r="A208" t="s">
        <v>771</v>
      </c>
      <c r="B208" t="s">
        <v>342</v>
      </c>
      <c r="C208" t="s">
        <v>772</v>
      </c>
      <c r="D208" t="s">
        <v>745</v>
      </c>
      <c r="E208" t="s">
        <v>746</v>
      </c>
      <c r="H208" t="s">
        <v>761</v>
      </c>
      <c r="I208" t="s">
        <v>37</v>
      </c>
      <c r="J208" s="5">
        <v>3</v>
      </c>
      <c r="K208" t="s">
        <v>748</v>
      </c>
      <c r="L208" t="s">
        <v>116</v>
      </c>
    </row>
    <row r="209" spans="1:12" x14ac:dyDescent="0.3">
      <c r="A209" t="s">
        <v>773</v>
      </c>
      <c r="B209" t="s">
        <v>774</v>
      </c>
      <c r="C209" t="s">
        <v>775</v>
      </c>
      <c r="D209" t="s">
        <v>745</v>
      </c>
      <c r="E209" t="s">
        <v>746</v>
      </c>
      <c r="H209" t="s">
        <v>761</v>
      </c>
      <c r="I209" t="s">
        <v>37</v>
      </c>
      <c r="J209" s="5">
        <v>3</v>
      </c>
      <c r="K209" t="s">
        <v>748</v>
      </c>
      <c r="L209" t="s">
        <v>116</v>
      </c>
    </row>
    <row r="210" spans="1:12" x14ac:dyDescent="0.3">
      <c r="A210" t="s">
        <v>776</v>
      </c>
      <c r="B210" t="s">
        <v>777</v>
      </c>
      <c r="C210" t="s">
        <v>778</v>
      </c>
      <c r="D210" t="s">
        <v>745</v>
      </c>
      <c r="E210" t="s">
        <v>746</v>
      </c>
      <c r="H210" t="s">
        <v>779</v>
      </c>
      <c r="I210" t="s">
        <v>37</v>
      </c>
      <c r="J210" s="5">
        <v>3</v>
      </c>
      <c r="K210" t="s">
        <v>748</v>
      </c>
      <c r="L210" t="s">
        <v>116</v>
      </c>
    </row>
    <row r="211" spans="1:12" x14ac:dyDescent="0.3">
      <c r="A211" t="s">
        <v>780</v>
      </c>
      <c r="B211" t="s">
        <v>781</v>
      </c>
      <c r="C211" t="s">
        <v>782</v>
      </c>
      <c r="D211" t="s">
        <v>745</v>
      </c>
      <c r="E211" t="s">
        <v>746</v>
      </c>
      <c r="H211" t="s">
        <v>779</v>
      </c>
      <c r="I211" t="s">
        <v>53</v>
      </c>
      <c r="J211" s="5">
        <v>3</v>
      </c>
      <c r="K211" t="s">
        <v>748</v>
      </c>
      <c r="L211" t="s">
        <v>116</v>
      </c>
    </row>
    <row r="212" spans="1:12" x14ac:dyDescent="0.3">
      <c r="A212" t="s">
        <v>783</v>
      </c>
      <c r="B212" t="s">
        <v>784</v>
      </c>
      <c r="C212" t="s">
        <v>785</v>
      </c>
      <c r="D212" t="s">
        <v>745</v>
      </c>
      <c r="E212" t="s">
        <v>746</v>
      </c>
      <c r="H212" t="s">
        <v>779</v>
      </c>
      <c r="I212" t="s">
        <v>53</v>
      </c>
      <c r="J212" s="5">
        <v>3</v>
      </c>
      <c r="K212" t="s">
        <v>748</v>
      </c>
      <c r="L212" t="s">
        <v>116</v>
      </c>
    </row>
    <row r="213" spans="1:12" x14ac:dyDescent="0.3">
      <c r="A213" t="s">
        <v>786</v>
      </c>
      <c r="B213" t="s">
        <v>787</v>
      </c>
      <c r="C213" t="s">
        <v>788</v>
      </c>
      <c r="D213" t="s">
        <v>745</v>
      </c>
      <c r="E213" t="s">
        <v>746</v>
      </c>
      <c r="H213" t="s">
        <v>779</v>
      </c>
      <c r="I213" t="s">
        <v>53</v>
      </c>
      <c r="J213" s="5">
        <v>3</v>
      </c>
      <c r="K213" t="s">
        <v>748</v>
      </c>
      <c r="L213" t="s">
        <v>116</v>
      </c>
    </row>
    <row r="214" spans="1:12" x14ac:dyDescent="0.3">
      <c r="A214" t="s">
        <v>789</v>
      </c>
      <c r="B214" t="s">
        <v>790</v>
      </c>
      <c r="C214" t="s">
        <v>791</v>
      </c>
      <c r="D214" t="s">
        <v>745</v>
      </c>
      <c r="E214" t="s">
        <v>746</v>
      </c>
      <c r="H214" t="s">
        <v>779</v>
      </c>
      <c r="I214" t="s">
        <v>53</v>
      </c>
      <c r="J214" s="5">
        <v>3</v>
      </c>
      <c r="K214" t="s">
        <v>748</v>
      </c>
      <c r="L214" t="s">
        <v>116</v>
      </c>
    </row>
    <row r="215" spans="1:12" x14ac:dyDescent="0.3">
      <c r="A215" t="s">
        <v>792</v>
      </c>
      <c r="B215" t="s">
        <v>793</v>
      </c>
      <c r="C215" t="s">
        <v>794</v>
      </c>
      <c r="D215" t="s">
        <v>745</v>
      </c>
      <c r="E215" t="s">
        <v>746</v>
      </c>
      <c r="H215" t="s">
        <v>779</v>
      </c>
      <c r="I215" t="s">
        <v>53</v>
      </c>
      <c r="J215" s="5">
        <v>3</v>
      </c>
      <c r="K215" t="s">
        <v>748</v>
      </c>
      <c r="L215" t="s">
        <v>116</v>
      </c>
    </row>
    <row r="216" spans="1:12" x14ac:dyDescent="0.3">
      <c r="A216" t="s">
        <v>795</v>
      </c>
      <c r="B216" t="s">
        <v>796</v>
      </c>
      <c r="C216" t="s">
        <v>797</v>
      </c>
      <c r="D216" t="s">
        <v>745</v>
      </c>
      <c r="E216" t="s">
        <v>746</v>
      </c>
      <c r="H216" t="s">
        <v>779</v>
      </c>
      <c r="I216" t="s">
        <v>53</v>
      </c>
      <c r="J216" s="5">
        <v>3</v>
      </c>
      <c r="K216" t="s">
        <v>748</v>
      </c>
      <c r="L216" t="s">
        <v>116</v>
      </c>
    </row>
    <row r="217" spans="1:12" x14ac:dyDescent="0.3">
      <c r="A217" t="s">
        <v>798</v>
      </c>
      <c r="B217" t="s">
        <v>799</v>
      </c>
      <c r="C217" t="s">
        <v>800</v>
      </c>
      <c r="D217" t="s">
        <v>745</v>
      </c>
      <c r="E217" t="s">
        <v>746</v>
      </c>
      <c r="H217" t="s">
        <v>779</v>
      </c>
      <c r="I217" t="s">
        <v>53</v>
      </c>
      <c r="J217" s="5">
        <v>3</v>
      </c>
      <c r="K217" t="s">
        <v>748</v>
      </c>
      <c r="L217" t="s">
        <v>116</v>
      </c>
    </row>
    <row r="218" spans="1:12" x14ac:dyDescent="0.3">
      <c r="A218" t="s">
        <v>801</v>
      </c>
      <c r="B218" t="s">
        <v>802</v>
      </c>
      <c r="C218" t="s">
        <v>803</v>
      </c>
      <c r="D218" t="s">
        <v>745</v>
      </c>
      <c r="E218" t="s">
        <v>746</v>
      </c>
      <c r="H218" t="s">
        <v>779</v>
      </c>
      <c r="I218" t="s">
        <v>53</v>
      </c>
      <c r="J218" s="5">
        <v>3</v>
      </c>
      <c r="K218" t="s">
        <v>748</v>
      </c>
      <c r="L218" t="s">
        <v>116</v>
      </c>
    </row>
    <row r="219" spans="1:12" x14ac:dyDescent="0.3">
      <c r="A219" t="s">
        <v>804</v>
      </c>
      <c r="B219" t="s">
        <v>805</v>
      </c>
      <c r="C219" t="s">
        <v>806</v>
      </c>
      <c r="D219" t="s">
        <v>745</v>
      </c>
      <c r="E219" t="s">
        <v>746</v>
      </c>
      <c r="H219" t="s">
        <v>779</v>
      </c>
      <c r="I219" t="s">
        <v>53</v>
      </c>
      <c r="J219" s="5">
        <v>3</v>
      </c>
      <c r="K219" t="s">
        <v>748</v>
      </c>
      <c r="L219" t="s">
        <v>116</v>
      </c>
    </row>
    <row r="220" spans="1:12" x14ac:dyDescent="0.3">
      <c r="A220" t="s">
        <v>807</v>
      </c>
      <c r="B220" t="s">
        <v>808</v>
      </c>
      <c r="C220" t="s">
        <v>809</v>
      </c>
      <c r="D220" t="s">
        <v>745</v>
      </c>
      <c r="E220" t="s">
        <v>746</v>
      </c>
      <c r="H220" t="s">
        <v>779</v>
      </c>
      <c r="I220" t="s">
        <v>53</v>
      </c>
      <c r="J220" s="5">
        <v>3</v>
      </c>
      <c r="K220" t="s">
        <v>748</v>
      </c>
      <c r="L220" t="s">
        <v>116</v>
      </c>
    </row>
    <row r="221" spans="1:12" x14ac:dyDescent="0.3">
      <c r="A221" t="s">
        <v>810</v>
      </c>
      <c r="B221" t="s">
        <v>811</v>
      </c>
      <c r="C221" t="s">
        <v>812</v>
      </c>
      <c r="D221" t="s">
        <v>745</v>
      </c>
      <c r="E221" t="s">
        <v>746</v>
      </c>
      <c r="H221" t="s">
        <v>779</v>
      </c>
      <c r="I221" t="s">
        <v>53</v>
      </c>
      <c r="J221" s="5">
        <v>3</v>
      </c>
      <c r="K221" t="s">
        <v>748</v>
      </c>
      <c r="L221" t="s">
        <v>116</v>
      </c>
    </row>
    <row r="222" spans="1:12" x14ac:dyDescent="0.3">
      <c r="A222" t="s">
        <v>813</v>
      </c>
      <c r="B222" t="s">
        <v>814</v>
      </c>
      <c r="C222" t="s">
        <v>815</v>
      </c>
      <c r="D222" t="s">
        <v>745</v>
      </c>
      <c r="E222" t="s">
        <v>746</v>
      </c>
      <c r="H222" t="s">
        <v>779</v>
      </c>
      <c r="I222" t="s">
        <v>53</v>
      </c>
      <c r="J222" s="5">
        <v>3</v>
      </c>
      <c r="K222" t="s">
        <v>748</v>
      </c>
      <c r="L222" t="s">
        <v>116</v>
      </c>
    </row>
    <row r="223" spans="1:12" x14ac:dyDescent="0.3">
      <c r="A223" t="s">
        <v>816</v>
      </c>
      <c r="B223" t="s">
        <v>817</v>
      </c>
      <c r="C223" t="s">
        <v>818</v>
      </c>
      <c r="D223" t="s">
        <v>745</v>
      </c>
      <c r="E223" t="s">
        <v>746</v>
      </c>
      <c r="H223" t="s">
        <v>819</v>
      </c>
      <c r="I223" t="s">
        <v>53</v>
      </c>
      <c r="J223" s="5">
        <v>5</v>
      </c>
      <c r="K223" t="s">
        <v>748</v>
      </c>
      <c r="L223" t="s">
        <v>116</v>
      </c>
    </row>
    <row r="224" spans="1:12" x14ac:dyDescent="0.3">
      <c r="A224" t="s">
        <v>820</v>
      </c>
      <c r="B224" t="s">
        <v>821</v>
      </c>
      <c r="C224" t="s">
        <v>822</v>
      </c>
      <c r="D224" t="s">
        <v>745</v>
      </c>
      <c r="E224" t="s">
        <v>746</v>
      </c>
      <c r="H224" t="s">
        <v>819</v>
      </c>
      <c r="I224" t="s">
        <v>53</v>
      </c>
      <c r="J224" s="5">
        <v>5</v>
      </c>
      <c r="K224" t="s">
        <v>748</v>
      </c>
      <c r="L224" t="s">
        <v>116</v>
      </c>
    </row>
    <row r="225" spans="1:12" x14ac:dyDescent="0.3">
      <c r="A225" t="s">
        <v>823</v>
      </c>
      <c r="B225" t="s">
        <v>824</v>
      </c>
      <c r="C225" t="s">
        <v>825</v>
      </c>
      <c r="D225" t="s">
        <v>745</v>
      </c>
      <c r="E225" t="s">
        <v>746</v>
      </c>
      <c r="H225" t="s">
        <v>819</v>
      </c>
      <c r="I225" t="s">
        <v>53</v>
      </c>
      <c r="J225" s="5">
        <v>5</v>
      </c>
      <c r="K225" t="s">
        <v>748</v>
      </c>
      <c r="L225" t="s">
        <v>116</v>
      </c>
    </row>
    <row r="226" spans="1:12" x14ac:dyDescent="0.3">
      <c r="A226" t="s">
        <v>826</v>
      </c>
      <c r="B226" t="s">
        <v>827</v>
      </c>
      <c r="C226" t="s">
        <v>828</v>
      </c>
      <c r="D226" t="s">
        <v>745</v>
      </c>
      <c r="E226" t="s">
        <v>746</v>
      </c>
      <c r="H226" t="s">
        <v>819</v>
      </c>
      <c r="I226" t="s">
        <v>53</v>
      </c>
      <c r="J226" s="5">
        <v>5</v>
      </c>
      <c r="K226" t="s">
        <v>748</v>
      </c>
      <c r="L226" t="s">
        <v>116</v>
      </c>
    </row>
    <row r="227" spans="1:12" x14ac:dyDescent="0.3">
      <c r="A227" t="s">
        <v>829</v>
      </c>
      <c r="B227" t="s">
        <v>830</v>
      </c>
      <c r="C227" t="s">
        <v>831</v>
      </c>
      <c r="D227" t="s">
        <v>745</v>
      </c>
      <c r="E227" t="s">
        <v>746</v>
      </c>
      <c r="H227" t="s">
        <v>819</v>
      </c>
      <c r="I227" t="s">
        <v>53</v>
      </c>
      <c r="J227" s="5">
        <v>5</v>
      </c>
      <c r="K227" t="s">
        <v>748</v>
      </c>
      <c r="L227" t="s">
        <v>116</v>
      </c>
    </row>
    <row r="228" spans="1:12" x14ac:dyDescent="0.3">
      <c r="A228" t="s">
        <v>832</v>
      </c>
      <c r="B228" t="s">
        <v>833</v>
      </c>
      <c r="C228" t="s">
        <v>834</v>
      </c>
      <c r="D228" t="s">
        <v>745</v>
      </c>
      <c r="E228" t="s">
        <v>746</v>
      </c>
      <c r="H228" t="s">
        <v>819</v>
      </c>
      <c r="I228" t="s">
        <v>53</v>
      </c>
      <c r="J228" s="5">
        <v>5</v>
      </c>
      <c r="K228" t="s">
        <v>748</v>
      </c>
      <c r="L228" t="s">
        <v>116</v>
      </c>
    </row>
    <row r="229" spans="1:12" x14ac:dyDescent="0.3">
      <c r="A229" t="s">
        <v>835</v>
      </c>
      <c r="B229" t="s">
        <v>836</v>
      </c>
      <c r="C229" t="s">
        <v>837</v>
      </c>
      <c r="D229" t="s">
        <v>745</v>
      </c>
      <c r="E229" t="s">
        <v>746</v>
      </c>
      <c r="H229" t="s">
        <v>838</v>
      </c>
      <c r="I229" t="s">
        <v>53</v>
      </c>
      <c r="J229" s="5">
        <v>7</v>
      </c>
      <c r="K229" t="s">
        <v>748</v>
      </c>
      <c r="L229" t="s">
        <v>116</v>
      </c>
    </row>
    <row r="230" spans="1:12" x14ac:dyDescent="0.3">
      <c r="A230" t="s">
        <v>839</v>
      </c>
      <c r="B230" t="s">
        <v>840</v>
      </c>
      <c r="C230" t="s">
        <v>841</v>
      </c>
      <c r="D230" t="s">
        <v>745</v>
      </c>
      <c r="E230" t="s">
        <v>746</v>
      </c>
      <c r="H230" t="s">
        <v>842</v>
      </c>
      <c r="I230" t="s">
        <v>53</v>
      </c>
      <c r="J230" s="5">
        <v>7</v>
      </c>
      <c r="K230" t="s">
        <v>748</v>
      </c>
      <c r="L230" t="s">
        <v>116</v>
      </c>
    </row>
    <row r="231" spans="1:12" x14ac:dyDescent="0.3">
      <c r="A231" t="s">
        <v>843</v>
      </c>
      <c r="B231" t="s">
        <v>844</v>
      </c>
      <c r="C231" t="s">
        <v>845</v>
      </c>
      <c r="D231" t="s">
        <v>745</v>
      </c>
      <c r="E231" t="s">
        <v>746</v>
      </c>
      <c r="H231" t="s">
        <v>842</v>
      </c>
      <c r="I231" t="s">
        <v>53</v>
      </c>
      <c r="J231" s="5">
        <v>7</v>
      </c>
      <c r="K231" t="s">
        <v>748</v>
      </c>
      <c r="L231" t="s">
        <v>116</v>
      </c>
    </row>
    <row r="232" spans="1:12" x14ac:dyDescent="0.3">
      <c r="A232" t="s">
        <v>846</v>
      </c>
      <c r="B232" t="s">
        <v>287</v>
      </c>
      <c r="C232" t="s">
        <v>847</v>
      </c>
      <c r="D232" t="s">
        <v>745</v>
      </c>
      <c r="E232" t="s">
        <v>746</v>
      </c>
      <c r="H232" t="s">
        <v>842</v>
      </c>
      <c r="I232" t="s">
        <v>53</v>
      </c>
      <c r="J232" s="5">
        <v>7</v>
      </c>
      <c r="K232" t="s">
        <v>748</v>
      </c>
      <c r="L232" t="s">
        <v>116</v>
      </c>
    </row>
    <row r="233" spans="1:12" x14ac:dyDescent="0.3">
      <c r="A233" t="s">
        <v>848</v>
      </c>
      <c r="B233" t="s">
        <v>849</v>
      </c>
      <c r="C233" t="s">
        <v>850</v>
      </c>
      <c r="D233" t="s">
        <v>745</v>
      </c>
      <c r="E233" t="s">
        <v>746</v>
      </c>
      <c r="H233" t="s">
        <v>842</v>
      </c>
      <c r="I233" t="s">
        <v>53</v>
      </c>
      <c r="J233" s="5">
        <v>7</v>
      </c>
      <c r="K233" t="s">
        <v>748</v>
      </c>
      <c r="L233" t="s">
        <v>116</v>
      </c>
    </row>
    <row r="234" spans="1:12" x14ac:dyDescent="0.3">
      <c r="A234" t="s">
        <v>851</v>
      </c>
      <c r="B234" t="s">
        <v>852</v>
      </c>
      <c r="C234" t="s">
        <v>853</v>
      </c>
      <c r="D234" t="s">
        <v>745</v>
      </c>
      <c r="E234" t="s">
        <v>746</v>
      </c>
      <c r="H234" t="s">
        <v>842</v>
      </c>
      <c r="I234" t="s">
        <v>53</v>
      </c>
      <c r="J234" s="5">
        <v>7</v>
      </c>
      <c r="K234" t="s">
        <v>748</v>
      </c>
      <c r="L234" t="s">
        <v>116</v>
      </c>
    </row>
    <row r="235" spans="1:12" x14ac:dyDescent="0.3">
      <c r="A235" t="s">
        <v>854</v>
      </c>
      <c r="B235" t="s">
        <v>855</v>
      </c>
      <c r="C235" t="s">
        <v>856</v>
      </c>
      <c r="D235" t="s">
        <v>745</v>
      </c>
      <c r="E235" t="s">
        <v>746</v>
      </c>
      <c r="H235" t="s">
        <v>838</v>
      </c>
      <c r="I235" t="s">
        <v>53</v>
      </c>
      <c r="J235" s="5">
        <v>7</v>
      </c>
      <c r="K235" t="s">
        <v>748</v>
      </c>
      <c r="L235" t="s">
        <v>116</v>
      </c>
    </row>
    <row r="236" spans="1:12" x14ac:dyDescent="0.3">
      <c r="A236" t="s">
        <v>857</v>
      </c>
      <c r="B236" t="s">
        <v>858</v>
      </c>
      <c r="C236" t="s">
        <v>859</v>
      </c>
      <c r="D236" t="s">
        <v>745</v>
      </c>
      <c r="E236" t="s">
        <v>746</v>
      </c>
      <c r="H236" t="s">
        <v>838</v>
      </c>
      <c r="I236" t="s">
        <v>53</v>
      </c>
      <c r="J236" s="5">
        <v>7</v>
      </c>
      <c r="K236" t="s">
        <v>748</v>
      </c>
      <c r="L236" t="s">
        <v>116</v>
      </c>
    </row>
    <row r="237" spans="1:12" x14ac:dyDescent="0.3">
      <c r="A237" t="s">
        <v>860</v>
      </c>
      <c r="B237" t="s">
        <v>861</v>
      </c>
      <c r="C237" t="s">
        <v>862</v>
      </c>
      <c r="D237" t="s">
        <v>745</v>
      </c>
      <c r="E237" t="s">
        <v>746</v>
      </c>
      <c r="H237" t="s">
        <v>838</v>
      </c>
      <c r="I237" t="s">
        <v>53</v>
      </c>
      <c r="J237" s="5">
        <v>7</v>
      </c>
      <c r="K237" t="s">
        <v>748</v>
      </c>
      <c r="L237" t="s">
        <v>116</v>
      </c>
    </row>
    <row r="238" spans="1:12" x14ac:dyDescent="0.3">
      <c r="A238" t="s">
        <v>863</v>
      </c>
      <c r="B238" t="s">
        <v>864</v>
      </c>
      <c r="C238" t="s">
        <v>865</v>
      </c>
      <c r="D238" t="s">
        <v>745</v>
      </c>
      <c r="E238" t="s">
        <v>746</v>
      </c>
      <c r="H238" t="s">
        <v>838</v>
      </c>
      <c r="I238" t="s">
        <v>53</v>
      </c>
      <c r="J238" s="5">
        <v>7</v>
      </c>
      <c r="K238" t="s">
        <v>748</v>
      </c>
      <c r="L238" t="s">
        <v>116</v>
      </c>
    </row>
    <row r="239" spans="1:12" x14ac:dyDescent="0.3">
      <c r="A239" t="s">
        <v>866</v>
      </c>
      <c r="B239" t="s">
        <v>867</v>
      </c>
      <c r="C239" t="s">
        <v>868</v>
      </c>
      <c r="D239" t="s">
        <v>745</v>
      </c>
      <c r="E239" t="s">
        <v>746</v>
      </c>
      <c r="H239" t="s">
        <v>842</v>
      </c>
      <c r="I239" t="s">
        <v>53</v>
      </c>
      <c r="J239" s="5">
        <v>7</v>
      </c>
      <c r="K239" t="s">
        <v>748</v>
      </c>
      <c r="L239" t="s">
        <v>116</v>
      </c>
    </row>
    <row r="240" spans="1:12" x14ac:dyDescent="0.3">
      <c r="A240" t="s">
        <v>869</v>
      </c>
      <c r="B240" t="s">
        <v>573</v>
      </c>
      <c r="C240" t="s">
        <v>870</v>
      </c>
      <c r="D240" t="s">
        <v>871</v>
      </c>
      <c r="E240" t="s">
        <v>872</v>
      </c>
      <c r="I240" t="s">
        <v>37</v>
      </c>
      <c r="J240" s="5">
        <v>1</v>
      </c>
      <c r="K240" t="s">
        <v>873</v>
      </c>
      <c r="L240" t="s">
        <v>116</v>
      </c>
    </row>
    <row r="241" spans="1:12" x14ac:dyDescent="0.3">
      <c r="A241" t="s">
        <v>874</v>
      </c>
      <c r="B241" t="s">
        <v>875</v>
      </c>
      <c r="C241" t="s">
        <v>217</v>
      </c>
      <c r="D241" t="s">
        <v>871</v>
      </c>
      <c r="E241" t="s">
        <v>219</v>
      </c>
      <c r="I241" t="s">
        <v>37</v>
      </c>
      <c r="J241" s="5">
        <v>1</v>
      </c>
      <c r="K241" t="s">
        <v>873</v>
      </c>
      <c r="L241" t="s">
        <v>116</v>
      </c>
    </row>
    <row r="242" spans="1:12" x14ac:dyDescent="0.3">
      <c r="A242" t="s">
        <v>876</v>
      </c>
      <c r="B242" t="s">
        <v>877</v>
      </c>
      <c r="C242" t="s">
        <v>878</v>
      </c>
      <c r="D242" t="s">
        <v>879</v>
      </c>
      <c r="E242" t="s">
        <v>880</v>
      </c>
      <c r="I242" t="s">
        <v>37</v>
      </c>
      <c r="J242" s="5">
        <v>1</v>
      </c>
      <c r="K242" t="s">
        <v>873</v>
      </c>
      <c r="L242" t="s">
        <v>116</v>
      </c>
    </row>
    <row r="243" spans="1:12" x14ac:dyDescent="0.3">
      <c r="A243" t="s">
        <v>881</v>
      </c>
      <c r="B243" t="s">
        <v>882</v>
      </c>
      <c r="C243" t="s">
        <v>883</v>
      </c>
      <c r="D243" t="s">
        <v>879</v>
      </c>
      <c r="E243" t="s">
        <v>272</v>
      </c>
      <c r="I243" t="s">
        <v>37</v>
      </c>
      <c r="J243" s="5">
        <v>1</v>
      </c>
      <c r="K243" t="s">
        <v>873</v>
      </c>
      <c r="L243" t="s">
        <v>116</v>
      </c>
    </row>
    <row r="244" spans="1:12" x14ac:dyDescent="0.3">
      <c r="A244" t="s">
        <v>884</v>
      </c>
      <c r="B244" t="s">
        <v>885</v>
      </c>
      <c r="C244" t="s">
        <v>886</v>
      </c>
      <c r="D244" t="s">
        <v>879</v>
      </c>
      <c r="E244" t="s">
        <v>887</v>
      </c>
      <c r="I244" t="s">
        <v>37</v>
      </c>
      <c r="J244" s="5">
        <v>1</v>
      </c>
      <c r="K244" t="s">
        <v>873</v>
      </c>
      <c r="L244" t="s">
        <v>116</v>
      </c>
    </row>
    <row r="245" spans="1:12" x14ac:dyDescent="0.3">
      <c r="A245" t="s">
        <v>888</v>
      </c>
      <c r="B245" t="s">
        <v>889</v>
      </c>
      <c r="C245" t="s">
        <v>890</v>
      </c>
      <c r="D245" t="s">
        <v>879</v>
      </c>
      <c r="E245" t="s">
        <v>891</v>
      </c>
      <c r="I245" t="s">
        <v>37</v>
      </c>
      <c r="J245" s="5">
        <v>1</v>
      </c>
      <c r="K245" t="s">
        <v>873</v>
      </c>
      <c r="L245" t="s">
        <v>116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5856-0BA9-427C-8646-D591762C8E9D}">
  <sheetPr>
    <tabColor rgb="FF3E8E7E"/>
  </sheetPr>
  <dimension ref="A1:K41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7.5546875" bestFit="1" customWidth="1"/>
    <col min="2" max="2" width="13.88671875" bestFit="1" customWidth="1"/>
    <col min="4" max="4" width="16" bestFit="1" customWidth="1"/>
    <col min="6" max="9" width="26.88671875" style="3" customWidth="1"/>
    <col min="10" max="10" width="10.21875" bestFit="1" customWidth="1"/>
    <col min="11" max="11" width="11.33203125" bestFit="1" customWidth="1"/>
  </cols>
  <sheetData>
    <row r="1" spans="1:11" x14ac:dyDescent="0.3">
      <c r="A1" t="s">
        <v>892</v>
      </c>
      <c r="B1" t="s">
        <v>893</v>
      </c>
      <c r="C1" t="s">
        <v>894</v>
      </c>
      <c r="D1" t="s">
        <v>895</v>
      </c>
      <c r="E1" t="s">
        <v>896</v>
      </c>
      <c r="F1" s="3" t="s">
        <v>101</v>
      </c>
      <c r="G1" s="3" t="s">
        <v>106</v>
      </c>
      <c r="H1" s="3" t="s">
        <v>897</v>
      </c>
      <c r="I1" s="3" t="s">
        <v>898</v>
      </c>
      <c r="J1" t="s">
        <v>899</v>
      </c>
      <c r="K1" t="s">
        <v>107</v>
      </c>
    </row>
    <row r="2" spans="1:11" x14ac:dyDescent="0.3">
      <c r="A2" t="s">
        <v>693</v>
      </c>
      <c r="B2" t="s">
        <v>695</v>
      </c>
      <c r="C2" t="s">
        <v>900</v>
      </c>
      <c r="D2" t="s">
        <v>901</v>
      </c>
      <c r="E2" t="s">
        <v>902</v>
      </c>
      <c r="F2" s="3" t="s">
        <v>692</v>
      </c>
      <c r="G2" s="3" t="s">
        <v>747</v>
      </c>
      <c r="H2" s="3" t="s">
        <v>903</v>
      </c>
      <c r="I2" s="3" t="s">
        <v>904</v>
      </c>
      <c r="J2" t="s">
        <v>116</v>
      </c>
      <c r="K2">
        <v>2</v>
      </c>
    </row>
    <row r="3" spans="1:11" x14ac:dyDescent="0.3">
      <c r="A3" t="s">
        <v>750</v>
      </c>
      <c r="B3" t="s">
        <v>905</v>
      </c>
      <c r="C3" t="s">
        <v>906</v>
      </c>
      <c r="D3" t="s">
        <v>906</v>
      </c>
      <c r="E3" t="s">
        <v>907</v>
      </c>
      <c r="F3" s="3" t="s">
        <v>751</v>
      </c>
      <c r="G3" s="3" t="s">
        <v>747</v>
      </c>
      <c r="H3" s="3" t="s">
        <v>903</v>
      </c>
      <c r="I3" s="3" t="s">
        <v>908</v>
      </c>
      <c r="J3" t="s">
        <v>903</v>
      </c>
      <c r="K3">
        <v>2</v>
      </c>
    </row>
    <row r="4" spans="1:11" x14ac:dyDescent="0.3">
      <c r="A4" t="s">
        <v>753</v>
      </c>
      <c r="B4" t="s">
        <v>909</v>
      </c>
      <c r="C4" t="s">
        <v>910</v>
      </c>
      <c r="D4" t="s">
        <v>753</v>
      </c>
      <c r="E4" t="s">
        <v>911</v>
      </c>
      <c r="F4" s="3" t="s">
        <v>754</v>
      </c>
      <c r="G4" s="3" t="s">
        <v>747</v>
      </c>
      <c r="H4" s="3" t="s">
        <v>903</v>
      </c>
      <c r="I4" s="3" t="s">
        <v>912</v>
      </c>
      <c r="J4" t="s">
        <v>116</v>
      </c>
      <c r="K4">
        <v>2</v>
      </c>
    </row>
    <row r="5" spans="1:11" x14ac:dyDescent="0.3">
      <c r="A5" t="s">
        <v>756</v>
      </c>
      <c r="B5" t="s">
        <v>913</v>
      </c>
      <c r="C5" t="s">
        <v>914</v>
      </c>
      <c r="D5" t="s">
        <v>914</v>
      </c>
      <c r="E5" t="s">
        <v>915</v>
      </c>
      <c r="F5" s="3" t="s">
        <v>757</v>
      </c>
      <c r="G5" s="3" t="s">
        <v>747</v>
      </c>
      <c r="H5" s="3" t="s">
        <v>903</v>
      </c>
      <c r="I5" s="3" t="s">
        <v>365</v>
      </c>
      <c r="J5" t="s">
        <v>116</v>
      </c>
      <c r="K5">
        <v>2</v>
      </c>
    </row>
    <row r="6" spans="1:11" x14ac:dyDescent="0.3">
      <c r="A6" t="s">
        <v>759</v>
      </c>
      <c r="B6" t="s">
        <v>916</v>
      </c>
      <c r="C6" t="s">
        <v>917</v>
      </c>
      <c r="D6" t="s">
        <v>918</v>
      </c>
      <c r="E6" t="s">
        <v>919</v>
      </c>
      <c r="F6" s="3" t="s">
        <v>760</v>
      </c>
      <c r="G6" s="3" t="s">
        <v>761</v>
      </c>
      <c r="H6" s="3" t="s">
        <v>903</v>
      </c>
      <c r="I6" s="3" t="s">
        <v>920</v>
      </c>
      <c r="J6" t="s">
        <v>116</v>
      </c>
      <c r="K6">
        <v>3</v>
      </c>
    </row>
    <row r="7" spans="1:11" x14ac:dyDescent="0.3">
      <c r="A7" t="s">
        <v>763</v>
      </c>
      <c r="B7" t="s">
        <v>921</v>
      </c>
      <c r="C7" t="s">
        <v>922</v>
      </c>
      <c r="D7" t="s">
        <v>922</v>
      </c>
      <c r="E7" t="s">
        <v>923</v>
      </c>
      <c r="F7" s="3" t="s">
        <v>764</v>
      </c>
      <c r="G7" s="3" t="s">
        <v>761</v>
      </c>
      <c r="H7" s="3" t="s">
        <v>903</v>
      </c>
      <c r="I7" s="3" t="s">
        <v>924</v>
      </c>
      <c r="J7" t="s">
        <v>903</v>
      </c>
      <c r="K7">
        <v>3</v>
      </c>
    </row>
    <row r="8" spans="1:11" x14ac:dyDescent="0.3">
      <c r="A8" t="s">
        <v>766</v>
      </c>
      <c r="B8" t="s">
        <v>925</v>
      </c>
      <c r="C8" t="s">
        <v>926</v>
      </c>
      <c r="D8" t="s">
        <v>926</v>
      </c>
      <c r="E8" t="s">
        <v>927</v>
      </c>
      <c r="F8" s="3" t="s">
        <v>767</v>
      </c>
      <c r="G8" s="3" t="s">
        <v>761</v>
      </c>
      <c r="H8" s="3" t="s">
        <v>903</v>
      </c>
      <c r="I8" s="3" t="s">
        <v>928</v>
      </c>
      <c r="J8" t="s">
        <v>116</v>
      </c>
      <c r="K8">
        <v>3</v>
      </c>
    </row>
    <row r="9" spans="1:11" x14ac:dyDescent="0.3">
      <c r="A9" t="s">
        <v>769</v>
      </c>
      <c r="B9" t="s">
        <v>929</v>
      </c>
      <c r="C9" t="s">
        <v>930</v>
      </c>
      <c r="D9" t="s">
        <v>930</v>
      </c>
      <c r="E9" t="s">
        <v>931</v>
      </c>
      <c r="F9" s="3" t="s">
        <v>770</v>
      </c>
      <c r="G9" s="3" t="s">
        <v>761</v>
      </c>
      <c r="H9" s="3" t="s">
        <v>903</v>
      </c>
      <c r="I9" s="3" t="s">
        <v>928</v>
      </c>
      <c r="J9" t="s">
        <v>903</v>
      </c>
      <c r="K9">
        <v>3</v>
      </c>
    </row>
    <row r="10" spans="1:11" x14ac:dyDescent="0.3">
      <c r="A10" t="s">
        <v>342</v>
      </c>
      <c r="B10" t="s">
        <v>932</v>
      </c>
      <c r="C10" t="s">
        <v>933</v>
      </c>
      <c r="D10" t="s">
        <v>933</v>
      </c>
      <c r="E10" t="s">
        <v>934</v>
      </c>
      <c r="F10" s="3" t="s">
        <v>772</v>
      </c>
      <c r="G10" s="3" t="s">
        <v>761</v>
      </c>
      <c r="H10" s="3" t="s">
        <v>903</v>
      </c>
      <c r="I10" s="3" t="s">
        <v>928</v>
      </c>
      <c r="J10" t="s">
        <v>903</v>
      </c>
      <c r="K10">
        <v>3</v>
      </c>
    </row>
    <row r="11" spans="1:11" x14ac:dyDescent="0.3">
      <c r="A11" t="s">
        <v>774</v>
      </c>
      <c r="B11" t="s">
        <v>935</v>
      </c>
      <c r="C11" t="s">
        <v>936</v>
      </c>
      <c r="D11" t="s">
        <v>774</v>
      </c>
      <c r="E11" t="s">
        <v>937</v>
      </c>
      <c r="F11" s="3" t="s">
        <v>775</v>
      </c>
      <c r="G11" s="3" t="s">
        <v>761</v>
      </c>
      <c r="H11" s="3" t="s">
        <v>903</v>
      </c>
      <c r="I11" s="3" t="s">
        <v>928</v>
      </c>
      <c r="J11" t="s">
        <v>116</v>
      </c>
      <c r="K11">
        <v>3</v>
      </c>
    </row>
    <row r="12" spans="1:11" x14ac:dyDescent="0.3">
      <c r="A12" t="s">
        <v>777</v>
      </c>
      <c r="B12" t="s">
        <v>938</v>
      </c>
      <c r="C12" t="s">
        <v>777</v>
      </c>
      <c r="D12" t="s">
        <v>777</v>
      </c>
      <c r="E12" t="s">
        <v>939</v>
      </c>
      <c r="F12" s="3" t="s">
        <v>778</v>
      </c>
      <c r="G12" s="3" t="s">
        <v>779</v>
      </c>
      <c r="H12" s="3" t="s">
        <v>903</v>
      </c>
      <c r="I12" s="3" t="s">
        <v>140</v>
      </c>
      <c r="J12" t="s">
        <v>116</v>
      </c>
      <c r="K12">
        <v>3</v>
      </c>
    </row>
    <row r="13" spans="1:11" x14ac:dyDescent="0.3">
      <c r="A13" t="s">
        <v>781</v>
      </c>
      <c r="B13" t="s">
        <v>940</v>
      </c>
      <c r="C13" t="s">
        <v>941</v>
      </c>
      <c r="D13" t="s">
        <v>942</v>
      </c>
      <c r="E13" t="s">
        <v>943</v>
      </c>
      <c r="F13" s="3" t="s">
        <v>782</v>
      </c>
      <c r="G13" s="3" t="s">
        <v>779</v>
      </c>
      <c r="H13" s="3" t="s">
        <v>903</v>
      </c>
      <c r="I13" s="3" t="s">
        <v>140</v>
      </c>
      <c r="J13" t="s">
        <v>116</v>
      </c>
      <c r="K13">
        <v>3</v>
      </c>
    </row>
    <row r="14" spans="1:11" x14ac:dyDescent="0.3">
      <c r="A14" t="s">
        <v>784</v>
      </c>
      <c r="B14" t="s">
        <v>944</v>
      </c>
      <c r="C14" t="s">
        <v>945</v>
      </c>
      <c r="D14" t="s">
        <v>945</v>
      </c>
      <c r="E14" t="s">
        <v>946</v>
      </c>
      <c r="F14" s="3" t="s">
        <v>785</v>
      </c>
      <c r="G14" s="3" t="s">
        <v>779</v>
      </c>
      <c r="H14" s="3" t="s">
        <v>903</v>
      </c>
      <c r="I14" s="3" t="s">
        <v>140</v>
      </c>
      <c r="J14" t="s">
        <v>903</v>
      </c>
      <c r="K14">
        <v>3</v>
      </c>
    </row>
    <row r="15" spans="1:11" x14ac:dyDescent="0.3">
      <c r="A15" t="s">
        <v>787</v>
      </c>
      <c r="B15" t="s">
        <v>947</v>
      </c>
      <c r="C15" t="s">
        <v>948</v>
      </c>
      <c r="D15" t="s">
        <v>948</v>
      </c>
      <c r="E15" t="s">
        <v>949</v>
      </c>
      <c r="F15" s="3" t="s">
        <v>788</v>
      </c>
      <c r="G15" s="3" t="s">
        <v>779</v>
      </c>
      <c r="H15" s="3" t="s">
        <v>903</v>
      </c>
      <c r="I15" s="3" t="s">
        <v>140</v>
      </c>
      <c r="J15" t="s">
        <v>903</v>
      </c>
      <c r="K15">
        <v>3</v>
      </c>
    </row>
    <row r="16" spans="1:11" x14ac:dyDescent="0.3">
      <c r="A16" t="s">
        <v>790</v>
      </c>
      <c r="B16" t="s">
        <v>950</v>
      </c>
      <c r="C16" t="s">
        <v>951</v>
      </c>
      <c r="D16" t="s">
        <v>951</v>
      </c>
      <c r="E16" t="s">
        <v>952</v>
      </c>
      <c r="F16" s="3" t="s">
        <v>791</v>
      </c>
      <c r="G16" s="3" t="s">
        <v>779</v>
      </c>
      <c r="H16" s="3" t="s">
        <v>903</v>
      </c>
      <c r="I16" s="3" t="s">
        <v>140</v>
      </c>
      <c r="J16" t="s">
        <v>116</v>
      </c>
      <c r="K16">
        <v>3</v>
      </c>
    </row>
    <row r="17" spans="1:11" x14ac:dyDescent="0.3">
      <c r="A17" t="s">
        <v>793</v>
      </c>
      <c r="B17" t="s">
        <v>953</v>
      </c>
      <c r="C17" t="s">
        <v>954</v>
      </c>
      <c r="D17" t="s">
        <v>954</v>
      </c>
      <c r="E17" t="s">
        <v>955</v>
      </c>
      <c r="F17" s="3" t="s">
        <v>794</v>
      </c>
      <c r="G17" s="3" t="s">
        <v>779</v>
      </c>
      <c r="H17" s="3" t="s">
        <v>903</v>
      </c>
      <c r="I17" s="3" t="s">
        <v>140</v>
      </c>
      <c r="J17" t="s">
        <v>903</v>
      </c>
      <c r="K17">
        <v>3</v>
      </c>
    </row>
    <row r="18" spans="1:11" x14ac:dyDescent="0.3">
      <c r="A18" t="s">
        <v>796</v>
      </c>
      <c r="B18" t="s">
        <v>956</v>
      </c>
      <c r="C18" t="s">
        <v>957</v>
      </c>
      <c r="D18" t="s">
        <v>957</v>
      </c>
      <c r="E18" t="s">
        <v>958</v>
      </c>
      <c r="F18" s="3" t="s">
        <v>797</v>
      </c>
      <c r="G18" s="3" t="s">
        <v>779</v>
      </c>
      <c r="H18" s="3" t="s">
        <v>903</v>
      </c>
      <c r="I18" s="3" t="s">
        <v>959</v>
      </c>
      <c r="J18" t="s">
        <v>903</v>
      </c>
      <c r="K18">
        <v>3</v>
      </c>
    </row>
    <row r="19" spans="1:11" x14ac:dyDescent="0.3">
      <c r="A19" t="s">
        <v>799</v>
      </c>
      <c r="B19" t="s">
        <v>960</v>
      </c>
      <c r="C19" t="s">
        <v>961</v>
      </c>
      <c r="D19" t="s">
        <v>961</v>
      </c>
      <c r="E19" t="s">
        <v>962</v>
      </c>
      <c r="F19" s="3" t="s">
        <v>800</v>
      </c>
      <c r="G19" s="3" t="s">
        <v>779</v>
      </c>
      <c r="H19" s="3" t="s">
        <v>903</v>
      </c>
      <c r="I19" s="3" t="s">
        <v>959</v>
      </c>
      <c r="J19" t="s">
        <v>903</v>
      </c>
      <c r="K19">
        <v>7</v>
      </c>
    </row>
    <row r="20" spans="1:11" x14ac:dyDescent="0.3">
      <c r="A20" t="s">
        <v>802</v>
      </c>
      <c r="B20" t="s">
        <v>963</v>
      </c>
      <c r="C20" t="s">
        <v>964</v>
      </c>
      <c r="D20" t="s">
        <v>964</v>
      </c>
      <c r="E20" t="s">
        <v>965</v>
      </c>
      <c r="F20" s="3" t="s">
        <v>803</v>
      </c>
      <c r="G20" s="3" t="s">
        <v>779</v>
      </c>
      <c r="H20" s="3" t="s">
        <v>903</v>
      </c>
      <c r="I20" s="3" t="s">
        <v>966</v>
      </c>
      <c r="J20" t="s">
        <v>903</v>
      </c>
      <c r="K20">
        <v>7</v>
      </c>
    </row>
    <row r="21" spans="1:11" x14ac:dyDescent="0.3">
      <c r="A21" t="s">
        <v>805</v>
      </c>
      <c r="B21" t="s">
        <v>967</v>
      </c>
      <c r="C21" t="s">
        <v>968</v>
      </c>
      <c r="D21" t="s">
        <v>968</v>
      </c>
      <c r="E21" t="s">
        <v>969</v>
      </c>
      <c r="F21" s="3" t="s">
        <v>806</v>
      </c>
      <c r="G21" s="3" t="s">
        <v>779</v>
      </c>
      <c r="H21" s="3" t="s">
        <v>903</v>
      </c>
      <c r="I21" s="3" t="s">
        <v>966</v>
      </c>
      <c r="J21" t="s">
        <v>903</v>
      </c>
      <c r="K21">
        <v>7</v>
      </c>
    </row>
    <row r="22" spans="1:11" x14ac:dyDescent="0.3">
      <c r="A22" t="s">
        <v>808</v>
      </c>
      <c r="B22" t="s">
        <v>970</v>
      </c>
      <c r="C22" t="s">
        <v>971</v>
      </c>
      <c r="D22" t="s">
        <v>971</v>
      </c>
      <c r="E22" t="s">
        <v>972</v>
      </c>
      <c r="F22" s="3" t="s">
        <v>809</v>
      </c>
      <c r="G22" s="3" t="s">
        <v>779</v>
      </c>
      <c r="H22" s="3" t="s">
        <v>903</v>
      </c>
      <c r="I22" s="3" t="s">
        <v>140</v>
      </c>
      <c r="J22" t="s">
        <v>903</v>
      </c>
      <c r="K22">
        <v>3</v>
      </c>
    </row>
    <row r="23" spans="1:11" x14ac:dyDescent="0.3">
      <c r="A23" t="s">
        <v>811</v>
      </c>
      <c r="B23" t="s">
        <v>973</v>
      </c>
      <c r="C23" t="s">
        <v>974</v>
      </c>
      <c r="D23" t="s">
        <v>974</v>
      </c>
      <c r="E23" t="s">
        <v>975</v>
      </c>
      <c r="F23" s="3" t="s">
        <v>812</v>
      </c>
      <c r="G23" s="3" t="s">
        <v>779</v>
      </c>
      <c r="H23" s="3" t="s">
        <v>903</v>
      </c>
      <c r="I23" s="3" t="s">
        <v>959</v>
      </c>
      <c r="J23" t="s">
        <v>903</v>
      </c>
      <c r="K23">
        <v>3</v>
      </c>
    </row>
    <row r="24" spans="1:11" x14ac:dyDescent="0.3">
      <c r="A24" t="s">
        <v>814</v>
      </c>
      <c r="B24" t="s">
        <v>976</v>
      </c>
      <c r="C24" t="s">
        <v>977</v>
      </c>
      <c r="D24" t="s">
        <v>977</v>
      </c>
      <c r="E24" t="s">
        <v>978</v>
      </c>
      <c r="F24" s="3" t="s">
        <v>815</v>
      </c>
      <c r="G24" s="3" t="s">
        <v>779</v>
      </c>
      <c r="H24" s="3" t="s">
        <v>903</v>
      </c>
      <c r="I24" s="3" t="s">
        <v>979</v>
      </c>
      <c r="J24" t="s">
        <v>903</v>
      </c>
      <c r="K24">
        <v>7</v>
      </c>
    </row>
    <row r="25" spans="1:11" x14ac:dyDescent="0.3">
      <c r="A25" t="s">
        <v>817</v>
      </c>
      <c r="B25" t="s">
        <v>980</v>
      </c>
      <c r="C25" t="s">
        <v>981</v>
      </c>
      <c r="D25" t="s">
        <v>982</v>
      </c>
      <c r="E25" t="s">
        <v>983</v>
      </c>
      <c r="F25" s="3" t="s">
        <v>818</v>
      </c>
      <c r="G25" s="3" t="s">
        <v>819</v>
      </c>
      <c r="H25" s="3" t="s">
        <v>116</v>
      </c>
      <c r="I25" s="3" t="s">
        <v>984</v>
      </c>
      <c r="J25" t="s">
        <v>116</v>
      </c>
      <c r="K25">
        <v>5</v>
      </c>
    </row>
    <row r="26" spans="1:11" x14ac:dyDescent="0.3">
      <c r="A26" t="s">
        <v>821</v>
      </c>
      <c r="B26" t="s">
        <v>985</v>
      </c>
      <c r="C26" t="s">
        <v>986</v>
      </c>
      <c r="D26" t="s">
        <v>986</v>
      </c>
      <c r="E26" t="s">
        <v>987</v>
      </c>
      <c r="F26" s="3" t="s">
        <v>822</v>
      </c>
      <c r="G26" s="3" t="s">
        <v>819</v>
      </c>
      <c r="H26" s="3" t="s">
        <v>116</v>
      </c>
      <c r="I26" s="3" t="s">
        <v>984</v>
      </c>
      <c r="J26" t="s">
        <v>116</v>
      </c>
      <c r="K26">
        <v>5</v>
      </c>
    </row>
    <row r="27" spans="1:11" x14ac:dyDescent="0.3">
      <c r="A27" t="s">
        <v>824</v>
      </c>
      <c r="B27" t="s">
        <v>988</v>
      </c>
      <c r="C27" t="s">
        <v>989</v>
      </c>
      <c r="D27" t="s">
        <v>990</v>
      </c>
      <c r="E27" t="s">
        <v>991</v>
      </c>
      <c r="F27" s="3" t="s">
        <v>825</v>
      </c>
      <c r="G27" s="3" t="s">
        <v>819</v>
      </c>
      <c r="H27" s="3" t="s">
        <v>116</v>
      </c>
      <c r="I27" s="3" t="s">
        <v>984</v>
      </c>
      <c r="J27" t="s">
        <v>116</v>
      </c>
      <c r="K27">
        <v>5</v>
      </c>
    </row>
    <row r="28" spans="1:11" x14ac:dyDescent="0.3">
      <c r="A28" t="s">
        <v>827</v>
      </c>
      <c r="B28" t="s">
        <v>992</v>
      </c>
      <c r="C28" t="s">
        <v>993</v>
      </c>
      <c r="D28" t="s">
        <v>993</v>
      </c>
      <c r="E28" t="s">
        <v>994</v>
      </c>
      <c r="F28" s="3" t="s">
        <v>828</v>
      </c>
      <c r="G28" s="3" t="s">
        <v>819</v>
      </c>
      <c r="H28" s="3" t="s">
        <v>116</v>
      </c>
      <c r="I28" s="3" t="s">
        <v>995</v>
      </c>
      <c r="J28" t="s">
        <v>116</v>
      </c>
      <c r="K28">
        <v>5</v>
      </c>
    </row>
    <row r="29" spans="1:11" x14ac:dyDescent="0.3">
      <c r="A29" t="s">
        <v>830</v>
      </c>
      <c r="B29" t="s">
        <v>996</v>
      </c>
      <c r="C29" t="s">
        <v>997</v>
      </c>
      <c r="D29" t="s">
        <v>997</v>
      </c>
      <c r="E29" t="s">
        <v>998</v>
      </c>
      <c r="F29" s="3" t="s">
        <v>831</v>
      </c>
      <c r="G29" s="3" t="s">
        <v>819</v>
      </c>
      <c r="H29" s="3" t="s">
        <v>116</v>
      </c>
      <c r="I29" s="3" t="s">
        <v>995</v>
      </c>
      <c r="J29" t="s">
        <v>116</v>
      </c>
      <c r="K29">
        <v>5</v>
      </c>
    </row>
    <row r="30" spans="1:11" x14ac:dyDescent="0.3">
      <c r="A30" t="s">
        <v>833</v>
      </c>
      <c r="B30" t="s">
        <v>999</v>
      </c>
      <c r="C30" t="s">
        <v>1000</v>
      </c>
      <c r="D30" t="s">
        <v>1000</v>
      </c>
      <c r="E30" t="s">
        <v>1001</v>
      </c>
      <c r="F30" s="3" t="s">
        <v>834</v>
      </c>
      <c r="G30" s="3" t="s">
        <v>819</v>
      </c>
      <c r="H30" s="3" t="s">
        <v>116</v>
      </c>
      <c r="I30" s="3" t="s">
        <v>984</v>
      </c>
      <c r="J30" t="s">
        <v>903</v>
      </c>
      <c r="K30">
        <v>5</v>
      </c>
    </row>
    <row r="31" spans="1:11" x14ac:dyDescent="0.3">
      <c r="A31" t="s">
        <v>836</v>
      </c>
      <c r="B31" t="s">
        <v>1002</v>
      </c>
      <c r="C31" t="s">
        <v>1003</v>
      </c>
      <c r="D31" t="s">
        <v>1004</v>
      </c>
      <c r="E31" t="s">
        <v>1005</v>
      </c>
      <c r="F31" s="3" t="s">
        <v>837</v>
      </c>
      <c r="G31" s="3" t="s">
        <v>838</v>
      </c>
      <c r="H31" s="3" t="s">
        <v>903</v>
      </c>
      <c r="I31" s="3" t="s">
        <v>1006</v>
      </c>
      <c r="J31" t="s">
        <v>116</v>
      </c>
      <c r="K31">
        <v>7</v>
      </c>
    </row>
    <row r="32" spans="1:11" x14ac:dyDescent="0.3">
      <c r="A32" t="s">
        <v>840</v>
      </c>
      <c r="B32" t="s">
        <v>1007</v>
      </c>
      <c r="C32" t="s">
        <v>1008</v>
      </c>
      <c r="D32" t="s">
        <v>1008</v>
      </c>
      <c r="E32" t="s">
        <v>1009</v>
      </c>
      <c r="F32" s="3" t="s">
        <v>841</v>
      </c>
      <c r="G32" s="3" t="s">
        <v>842</v>
      </c>
      <c r="H32" s="3" t="s">
        <v>903</v>
      </c>
      <c r="I32" s="3" t="s">
        <v>1010</v>
      </c>
      <c r="J32" t="s">
        <v>903</v>
      </c>
      <c r="K32">
        <v>7</v>
      </c>
    </row>
    <row r="33" spans="1:11" x14ac:dyDescent="0.3">
      <c r="A33" t="s">
        <v>844</v>
      </c>
      <c r="B33" t="s">
        <v>1011</v>
      </c>
      <c r="C33" t="s">
        <v>1012</v>
      </c>
      <c r="D33" t="s">
        <v>1012</v>
      </c>
      <c r="E33" t="s">
        <v>1013</v>
      </c>
      <c r="F33" s="3" t="s">
        <v>845</v>
      </c>
      <c r="G33" s="3" t="s">
        <v>842</v>
      </c>
      <c r="H33" s="3" t="s">
        <v>903</v>
      </c>
      <c r="I33" s="3" t="s">
        <v>1014</v>
      </c>
      <c r="J33" t="s">
        <v>903</v>
      </c>
      <c r="K33">
        <v>7</v>
      </c>
    </row>
    <row r="34" spans="1:11" x14ac:dyDescent="0.3">
      <c r="A34" t="s">
        <v>287</v>
      </c>
      <c r="B34" t="s">
        <v>1015</v>
      </c>
      <c r="C34" t="s">
        <v>1016</v>
      </c>
      <c r="D34" t="s">
        <v>1016</v>
      </c>
      <c r="E34" t="s">
        <v>1017</v>
      </c>
      <c r="F34" s="3" t="s">
        <v>847</v>
      </c>
      <c r="G34" s="3" t="s">
        <v>842</v>
      </c>
      <c r="H34" s="3" t="s">
        <v>903</v>
      </c>
      <c r="I34" s="3" t="s">
        <v>1018</v>
      </c>
      <c r="J34" t="s">
        <v>903</v>
      </c>
      <c r="K34">
        <v>7</v>
      </c>
    </row>
    <row r="35" spans="1:11" x14ac:dyDescent="0.3">
      <c r="A35" t="s">
        <v>849</v>
      </c>
      <c r="B35" t="s">
        <v>1019</v>
      </c>
      <c r="C35" t="s">
        <v>1020</v>
      </c>
      <c r="D35" t="s">
        <v>1020</v>
      </c>
      <c r="E35" t="s">
        <v>1021</v>
      </c>
      <c r="F35" s="3" t="s">
        <v>850</v>
      </c>
      <c r="G35" s="3" t="s">
        <v>842</v>
      </c>
      <c r="H35" s="3" t="s">
        <v>903</v>
      </c>
      <c r="I35" s="3" t="s">
        <v>1018</v>
      </c>
      <c r="J35" t="s">
        <v>903</v>
      </c>
      <c r="K35">
        <v>7</v>
      </c>
    </row>
    <row r="36" spans="1:11" x14ac:dyDescent="0.3">
      <c r="A36" t="s">
        <v>852</v>
      </c>
      <c r="B36" t="s">
        <v>1022</v>
      </c>
      <c r="C36" t="s">
        <v>1023</v>
      </c>
      <c r="D36" t="s">
        <v>1023</v>
      </c>
      <c r="E36" t="s">
        <v>1024</v>
      </c>
      <c r="F36" s="3" t="s">
        <v>853</v>
      </c>
      <c r="G36" s="3" t="s">
        <v>842</v>
      </c>
      <c r="H36" s="3" t="s">
        <v>903</v>
      </c>
      <c r="I36" s="3" t="s">
        <v>1014</v>
      </c>
      <c r="J36" t="s">
        <v>903</v>
      </c>
      <c r="K36">
        <v>7</v>
      </c>
    </row>
    <row r="37" spans="1:11" x14ac:dyDescent="0.3">
      <c r="A37" t="s">
        <v>855</v>
      </c>
      <c r="B37" t="s">
        <v>1025</v>
      </c>
      <c r="C37" t="s">
        <v>1026</v>
      </c>
      <c r="D37" t="s">
        <v>1026</v>
      </c>
      <c r="E37" t="s">
        <v>1027</v>
      </c>
      <c r="F37" s="3" t="s">
        <v>856</v>
      </c>
      <c r="G37" s="3" t="s">
        <v>838</v>
      </c>
      <c r="H37" s="3" t="s">
        <v>903</v>
      </c>
      <c r="I37" s="3" t="s">
        <v>1028</v>
      </c>
      <c r="J37" t="s">
        <v>903</v>
      </c>
      <c r="K37">
        <v>7</v>
      </c>
    </row>
    <row r="38" spans="1:11" x14ac:dyDescent="0.3">
      <c r="A38" t="s">
        <v>858</v>
      </c>
      <c r="B38" t="s">
        <v>1029</v>
      </c>
      <c r="C38" t="s">
        <v>1030</v>
      </c>
      <c r="D38" t="s">
        <v>1030</v>
      </c>
      <c r="E38" t="s">
        <v>1031</v>
      </c>
      <c r="F38" s="3" t="s">
        <v>859</v>
      </c>
      <c r="G38" s="3" t="s">
        <v>838</v>
      </c>
      <c r="H38" s="3" t="s">
        <v>903</v>
      </c>
      <c r="I38" s="3" t="s">
        <v>1028</v>
      </c>
      <c r="J38" t="s">
        <v>903</v>
      </c>
      <c r="K38">
        <v>7</v>
      </c>
    </row>
    <row r="39" spans="1:11" x14ac:dyDescent="0.3">
      <c r="A39" t="s">
        <v>861</v>
      </c>
      <c r="B39" t="s">
        <v>1032</v>
      </c>
      <c r="C39" t="s">
        <v>1033</v>
      </c>
      <c r="D39" t="s">
        <v>1033</v>
      </c>
      <c r="E39" t="s">
        <v>1034</v>
      </c>
      <c r="F39" s="3" t="s">
        <v>862</v>
      </c>
      <c r="G39" s="3" t="s">
        <v>838</v>
      </c>
      <c r="H39" s="3" t="s">
        <v>903</v>
      </c>
      <c r="I39" s="3" t="s">
        <v>1035</v>
      </c>
      <c r="J39" t="s">
        <v>116</v>
      </c>
      <c r="K39">
        <v>7</v>
      </c>
    </row>
    <row r="40" spans="1:11" x14ac:dyDescent="0.3">
      <c r="A40" t="s">
        <v>864</v>
      </c>
      <c r="B40" t="s">
        <v>1036</v>
      </c>
      <c r="C40" t="s">
        <v>864</v>
      </c>
      <c r="D40" t="s">
        <v>864</v>
      </c>
      <c r="E40" t="s">
        <v>1037</v>
      </c>
      <c r="F40" s="3" t="s">
        <v>865</v>
      </c>
      <c r="G40" s="3" t="s">
        <v>838</v>
      </c>
      <c r="H40" s="3" t="s">
        <v>903</v>
      </c>
      <c r="I40" s="3" t="s">
        <v>1035</v>
      </c>
      <c r="J40" t="s">
        <v>116</v>
      </c>
      <c r="K40">
        <v>7</v>
      </c>
    </row>
    <row r="41" spans="1:11" x14ac:dyDescent="0.3">
      <c r="A41" t="s">
        <v>867</v>
      </c>
      <c r="B41" t="s">
        <v>1038</v>
      </c>
      <c r="C41" t="s">
        <v>1039</v>
      </c>
      <c r="D41" t="s">
        <v>1039</v>
      </c>
      <c r="E41" t="s">
        <v>1040</v>
      </c>
      <c r="F41" s="3" t="s">
        <v>868</v>
      </c>
      <c r="G41" s="3" t="s">
        <v>842</v>
      </c>
      <c r="H41" s="3" t="s">
        <v>903</v>
      </c>
      <c r="I41" s="3" t="s">
        <v>1010</v>
      </c>
      <c r="J41" t="s">
        <v>903</v>
      </c>
      <c r="K41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0060-39E0-4ABF-B5EF-5CB62A3AF3A5}">
  <sheetPr>
    <tabColor rgb="FF7B5EA7"/>
  </sheetPr>
  <dimension ref="A1:J60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11.88671875" bestFit="1" customWidth="1"/>
    <col min="2" max="2" width="10.6640625" bestFit="1" customWidth="1"/>
    <col min="3" max="3" width="22.33203125" bestFit="1" customWidth="1"/>
    <col min="4" max="4" width="33.33203125" style="3" customWidth="1"/>
    <col min="5" max="6" width="40.77734375" style="3" customWidth="1"/>
    <col min="7" max="7" width="11.33203125" bestFit="1" customWidth="1"/>
    <col min="8" max="8" width="13.109375" bestFit="1" customWidth="1"/>
    <col min="9" max="9" width="11.33203125" bestFit="1" customWidth="1"/>
    <col min="10" max="10" width="40.77734375" customWidth="1"/>
  </cols>
  <sheetData>
    <row r="1" spans="1:10" x14ac:dyDescent="0.3">
      <c r="A1" t="s">
        <v>1041</v>
      </c>
      <c r="B1" t="s">
        <v>1042</v>
      </c>
      <c r="C1" t="s">
        <v>1043</v>
      </c>
      <c r="D1" s="3" t="s">
        <v>1044</v>
      </c>
      <c r="E1" s="3" t="s">
        <v>1045</v>
      </c>
      <c r="F1" s="3" t="s">
        <v>1046</v>
      </c>
      <c r="G1" t="s">
        <v>1047</v>
      </c>
      <c r="H1" t="s">
        <v>1048</v>
      </c>
      <c r="I1" t="s">
        <v>1049</v>
      </c>
      <c r="J1" t="s">
        <v>1050</v>
      </c>
    </row>
    <row r="2" spans="1:10" x14ac:dyDescent="0.3">
      <c r="A2" t="s">
        <v>1051</v>
      </c>
      <c r="B2" t="s">
        <v>1052</v>
      </c>
      <c r="C2" t="s">
        <v>1053</v>
      </c>
      <c r="D2" s="3" t="s">
        <v>1054</v>
      </c>
      <c r="E2" s="3" t="s">
        <v>1055</v>
      </c>
      <c r="F2" s="3" t="s">
        <v>1056</v>
      </c>
      <c r="G2" s="5">
        <v>1</v>
      </c>
      <c r="H2" s="5">
        <v>1</v>
      </c>
      <c r="I2" t="s">
        <v>903</v>
      </c>
      <c r="J2" t="s">
        <v>1057</v>
      </c>
    </row>
    <row r="3" spans="1:10" x14ac:dyDescent="0.3">
      <c r="A3" t="s">
        <v>1058</v>
      </c>
      <c r="B3" t="s">
        <v>1052</v>
      </c>
      <c r="C3" t="s">
        <v>1053</v>
      </c>
      <c r="D3" s="3" t="s">
        <v>1059</v>
      </c>
      <c r="E3" s="3" t="s">
        <v>903</v>
      </c>
      <c r="F3" s="3" t="s">
        <v>1060</v>
      </c>
      <c r="G3" s="5">
        <v>1</v>
      </c>
      <c r="H3" s="5">
        <v>1</v>
      </c>
      <c r="I3" t="s">
        <v>903</v>
      </c>
      <c r="J3" t="s">
        <v>1061</v>
      </c>
    </row>
    <row r="4" spans="1:10" x14ac:dyDescent="0.3">
      <c r="A4" t="s">
        <v>1062</v>
      </c>
      <c r="B4" t="s">
        <v>1052</v>
      </c>
      <c r="C4" t="s">
        <v>1053</v>
      </c>
      <c r="D4" s="3" t="s">
        <v>1063</v>
      </c>
      <c r="E4" s="3" t="s">
        <v>1064</v>
      </c>
      <c r="F4" s="3" t="s">
        <v>1065</v>
      </c>
      <c r="G4" s="5">
        <v>1</v>
      </c>
      <c r="H4" s="5">
        <v>2</v>
      </c>
      <c r="I4" t="s">
        <v>903</v>
      </c>
      <c r="J4" t="s">
        <v>1066</v>
      </c>
    </row>
    <row r="5" spans="1:10" x14ac:dyDescent="0.3">
      <c r="A5" t="s">
        <v>1067</v>
      </c>
      <c r="B5" t="s">
        <v>1052</v>
      </c>
      <c r="C5" t="s">
        <v>1053</v>
      </c>
      <c r="D5" s="3" t="s">
        <v>1068</v>
      </c>
      <c r="E5" s="3" t="s">
        <v>1069</v>
      </c>
      <c r="F5" s="3" t="s">
        <v>1070</v>
      </c>
      <c r="G5" s="5">
        <v>2</v>
      </c>
      <c r="H5" s="5">
        <v>3</v>
      </c>
      <c r="I5" t="s">
        <v>116</v>
      </c>
      <c r="J5" t="s">
        <v>1071</v>
      </c>
    </row>
    <row r="6" spans="1:10" x14ac:dyDescent="0.3">
      <c r="A6" t="s">
        <v>1072</v>
      </c>
      <c r="B6" t="s">
        <v>1052</v>
      </c>
      <c r="C6" t="s">
        <v>1053</v>
      </c>
      <c r="D6" s="3" t="s">
        <v>1073</v>
      </c>
      <c r="E6" s="3" t="s">
        <v>1074</v>
      </c>
      <c r="F6" s="3" t="s">
        <v>1075</v>
      </c>
      <c r="G6" s="5">
        <v>2</v>
      </c>
      <c r="H6" s="5">
        <v>4</v>
      </c>
      <c r="I6" t="s">
        <v>116</v>
      </c>
      <c r="J6" t="s">
        <v>1076</v>
      </c>
    </row>
    <row r="7" spans="1:10" ht="28.8" x14ac:dyDescent="0.3">
      <c r="A7" t="s">
        <v>1077</v>
      </c>
      <c r="B7" t="s">
        <v>1052</v>
      </c>
      <c r="C7" t="s">
        <v>1053</v>
      </c>
      <c r="D7" s="3" t="s">
        <v>1078</v>
      </c>
      <c r="E7" s="3" t="s">
        <v>1079</v>
      </c>
      <c r="F7" s="3" t="s">
        <v>1080</v>
      </c>
      <c r="G7" s="5">
        <v>8</v>
      </c>
      <c r="H7" s="5">
        <v>8</v>
      </c>
      <c r="I7" t="s">
        <v>116</v>
      </c>
      <c r="J7" t="s">
        <v>1081</v>
      </c>
    </row>
    <row r="8" spans="1:10" x14ac:dyDescent="0.3">
      <c r="A8" t="s">
        <v>1082</v>
      </c>
      <c r="B8" t="s">
        <v>1052</v>
      </c>
      <c r="C8" t="s">
        <v>1053</v>
      </c>
      <c r="D8" s="3" t="s">
        <v>1083</v>
      </c>
      <c r="E8" s="3" t="s">
        <v>1084</v>
      </c>
      <c r="F8" s="3" t="s">
        <v>1085</v>
      </c>
      <c r="G8" s="5">
        <v>8</v>
      </c>
      <c r="H8" s="5">
        <v>2</v>
      </c>
      <c r="I8" t="s">
        <v>116</v>
      </c>
      <c r="J8" t="s">
        <v>1086</v>
      </c>
    </row>
    <row r="9" spans="1:10" ht="28.8" x14ac:dyDescent="0.3">
      <c r="A9" t="s">
        <v>1087</v>
      </c>
      <c r="B9" t="s">
        <v>1052</v>
      </c>
      <c r="C9" t="s">
        <v>1053</v>
      </c>
      <c r="D9" s="3" t="s">
        <v>1088</v>
      </c>
      <c r="E9" s="3" t="s">
        <v>1089</v>
      </c>
      <c r="F9" s="3" t="s">
        <v>1090</v>
      </c>
      <c r="G9" s="5">
        <v>8</v>
      </c>
      <c r="H9" s="5">
        <v>6</v>
      </c>
      <c r="I9" t="s">
        <v>116</v>
      </c>
      <c r="J9" t="s">
        <v>1091</v>
      </c>
    </row>
    <row r="10" spans="1:10" ht="28.8" x14ac:dyDescent="0.3">
      <c r="A10" t="s">
        <v>1092</v>
      </c>
      <c r="B10" t="s">
        <v>1052</v>
      </c>
      <c r="C10" t="s">
        <v>1093</v>
      </c>
      <c r="D10" s="3" t="s">
        <v>1094</v>
      </c>
      <c r="E10" s="3" t="s">
        <v>1095</v>
      </c>
      <c r="F10" s="3" t="s">
        <v>1096</v>
      </c>
      <c r="G10" s="5">
        <v>8</v>
      </c>
      <c r="H10" s="5">
        <v>6</v>
      </c>
      <c r="I10" t="s">
        <v>116</v>
      </c>
      <c r="J10" t="s">
        <v>1097</v>
      </c>
    </row>
    <row r="11" spans="1:10" x14ac:dyDescent="0.3">
      <c r="A11" t="s">
        <v>1098</v>
      </c>
      <c r="B11" t="s">
        <v>1052</v>
      </c>
      <c r="C11" t="s">
        <v>1093</v>
      </c>
      <c r="D11" s="3" t="s">
        <v>1099</v>
      </c>
      <c r="E11" s="3" t="s">
        <v>1100</v>
      </c>
      <c r="F11" s="3" t="s">
        <v>1101</v>
      </c>
      <c r="G11" s="5">
        <v>2</v>
      </c>
      <c r="H11" s="5">
        <v>2</v>
      </c>
      <c r="I11" t="s">
        <v>116</v>
      </c>
      <c r="J11" t="s">
        <v>1102</v>
      </c>
    </row>
    <row r="12" spans="1:10" x14ac:dyDescent="0.3">
      <c r="A12" t="s">
        <v>1103</v>
      </c>
      <c r="B12" t="s">
        <v>1052</v>
      </c>
      <c r="C12" t="s">
        <v>1093</v>
      </c>
      <c r="D12" s="3" t="s">
        <v>1104</v>
      </c>
      <c r="E12" s="3" t="s">
        <v>1105</v>
      </c>
      <c r="F12" s="3" t="s">
        <v>1106</v>
      </c>
      <c r="G12" s="5">
        <v>8</v>
      </c>
      <c r="H12" s="5">
        <v>6</v>
      </c>
      <c r="I12" t="s">
        <v>116</v>
      </c>
      <c r="J12" t="s">
        <v>1107</v>
      </c>
    </row>
    <row r="13" spans="1:10" x14ac:dyDescent="0.3">
      <c r="A13" t="s">
        <v>1108</v>
      </c>
      <c r="B13" t="s">
        <v>1052</v>
      </c>
      <c r="C13" t="s">
        <v>1109</v>
      </c>
      <c r="D13" s="3" t="s">
        <v>1110</v>
      </c>
      <c r="E13" s="3" t="s">
        <v>1111</v>
      </c>
      <c r="F13" s="3" t="s">
        <v>1112</v>
      </c>
      <c r="G13" s="5">
        <v>4</v>
      </c>
      <c r="H13" s="5">
        <v>2</v>
      </c>
      <c r="I13" t="s">
        <v>116</v>
      </c>
      <c r="J13" t="s">
        <v>1113</v>
      </c>
    </row>
    <row r="14" spans="1:10" x14ac:dyDescent="0.3">
      <c r="A14" t="s">
        <v>1114</v>
      </c>
      <c r="B14" t="s">
        <v>1052</v>
      </c>
      <c r="C14" t="s">
        <v>1109</v>
      </c>
      <c r="D14" s="3" t="s">
        <v>1115</v>
      </c>
      <c r="E14" s="3" t="s">
        <v>1116</v>
      </c>
      <c r="F14" s="3" t="s">
        <v>1117</v>
      </c>
      <c r="G14" s="5">
        <v>8</v>
      </c>
      <c r="H14" s="5">
        <v>5</v>
      </c>
      <c r="I14" t="s">
        <v>116</v>
      </c>
      <c r="J14" t="s">
        <v>1118</v>
      </c>
    </row>
    <row r="15" spans="1:10" x14ac:dyDescent="0.3">
      <c r="A15" t="s">
        <v>1119</v>
      </c>
      <c r="B15" t="s">
        <v>1052</v>
      </c>
      <c r="C15" t="s">
        <v>1120</v>
      </c>
      <c r="D15" s="3" t="s">
        <v>1121</v>
      </c>
      <c r="E15" s="3" t="s">
        <v>1122</v>
      </c>
      <c r="F15" s="3" t="s">
        <v>1123</v>
      </c>
      <c r="G15" s="5">
        <v>4</v>
      </c>
      <c r="H15" s="5">
        <v>2</v>
      </c>
      <c r="I15" t="s">
        <v>116</v>
      </c>
      <c r="J15" t="s">
        <v>1124</v>
      </c>
    </row>
    <row r="16" spans="1:10" x14ac:dyDescent="0.3">
      <c r="A16" t="s">
        <v>1125</v>
      </c>
      <c r="B16" t="s">
        <v>1052</v>
      </c>
      <c r="C16" t="s">
        <v>1120</v>
      </c>
      <c r="D16" s="3" t="s">
        <v>1126</v>
      </c>
      <c r="E16" s="3" t="s">
        <v>1127</v>
      </c>
      <c r="F16" s="3" t="s">
        <v>1128</v>
      </c>
      <c r="G16" s="5">
        <v>4</v>
      </c>
      <c r="H16" s="5">
        <v>3</v>
      </c>
      <c r="I16" t="s">
        <v>116</v>
      </c>
      <c r="J16" t="s">
        <v>1129</v>
      </c>
    </row>
    <row r="17" spans="1:10" ht="28.8" x14ac:dyDescent="0.3">
      <c r="A17" t="s">
        <v>1130</v>
      </c>
      <c r="B17" t="s">
        <v>1052</v>
      </c>
      <c r="C17" t="s">
        <v>1120</v>
      </c>
      <c r="D17" s="3" t="s">
        <v>1131</v>
      </c>
      <c r="E17" s="3" t="s">
        <v>1132</v>
      </c>
      <c r="F17" s="3" t="s">
        <v>1133</v>
      </c>
      <c r="G17" s="5">
        <v>4</v>
      </c>
      <c r="H17" s="5">
        <v>4</v>
      </c>
      <c r="I17" t="s">
        <v>116</v>
      </c>
      <c r="J17" t="s">
        <v>1134</v>
      </c>
    </row>
    <row r="18" spans="1:10" x14ac:dyDescent="0.3">
      <c r="A18" t="s">
        <v>1135</v>
      </c>
      <c r="B18" t="s">
        <v>1052</v>
      </c>
      <c r="C18" t="s">
        <v>1120</v>
      </c>
      <c r="D18" s="3" t="s">
        <v>1136</v>
      </c>
      <c r="E18" s="3" t="s">
        <v>1137</v>
      </c>
      <c r="F18" s="3" t="s">
        <v>1138</v>
      </c>
      <c r="G18" s="5">
        <v>8</v>
      </c>
      <c r="H18" s="5">
        <v>5</v>
      </c>
      <c r="I18" t="s">
        <v>116</v>
      </c>
      <c r="J18" t="s">
        <v>1139</v>
      </c>
    </row>
    <row r="19" spans="1:10" x14ac:dyDescent="0.3">
      <c r="A19" t="s">
        <v>1140</v>
      </c>
      <c r="B19" t="s">
        <v>1141</v>
      </c>
      <c r="C19" t="s">
        <v>1142</v>
      </c>
      <c r="D19" s="3" t="s">
        <v>1143</v>
      </c>
      <c r="E19" s="3" t="s">
        <v>1144</v>
      </c>
      <c r="F19" s="3" t="s">
        <v>1145</v>
      </c>
      <c r="G19" s="5">
        <v>3</v>
      </c>
      <c r="H19" s="5">
        <v>1</v>
      </c>
      <c r="I19" t="s">
        <v>903</v>
      </c>
      <c r="J19" t="s">
        <v>1146</v>
      </c>
    </row>
    <row r="20" spans="1:10" x14ac:dyDescent="0.3">
      <c r="A20" t="s">
        <v>1147</v>
      </c>
      <c r="B20" t="s">
        <v>1141</v>
      </c>
      <c r="C20" t="s">
        <v>1142</v>
      </c>
      <c r="D20" s="3" t="s">
        <v>1148</v>
      </c>
      <c r="E20" s="3" t="s">
        <v>1149</v>
      </c>
      <c r="F20" s="3" t="s">
        <v>1150</v>
      </c>
      <c r="G20" s="5">
        <v>3</v>
      </c>
      <c r="H20" s="5">
        <v>5</v>
      </c>
      <c r="I20" t="s">
        <v>116</v>
      </c>
      <c r="J20" t="s">
        <v>1151</v>
      </c>
    </row>
    <row r="21" spans="1:10" x14ac:dyDescent="0.3">
      <c r="A21" t="s">
        <v>1152</v>
      </c>
      <c r="B21" t="s">
        <v>1141</v>
      </c>
      <c r="C21" t="s">
        <v>1142</v>
      </c>
      <c r="D21" s="3" t="s">
        <v>1153</v>
      </c>
      <c r="E21" s="3" t="s">
        <v>1154</v>
      </c>
      <c r="F21" s="3" t="s">
        <v>1155</v>
      </c>
      <c r="G21" s="5">
        <v>3</v>
      </c>
      <c r="H21" s="5">
        <v>4</v>
      </c>
      <c r="I21" t="s">
        <v>116</v>
      </c>
      <c r="J21" t="s">
        <v>1156</v>
      </c>
    </row>
    <row r="22" spans="1:10" x14ac:dyDescent="0.3">
      <c r="A22" t="s">
        <v>1157</v>
      </c>
      <c r="B22" t="s">
        <v>1141</v>
      </c>
      <c r="C22" t="s">
        <v>1158</v>
      </c>
      <c r="D22" s="3" t="s">
        <v>1159</v>
      </c>
      <c r="E22" s="3" t="s">
        <v>1160</v>
      </c>
      <c r="F22" s="3" t="s">
        <v>1161</v>
      </c>
      <c r="G22" s="5">
        <v>2</v>
      </c>
      <c r="H22" s="5">
        <v>7</v>
      </c>
      <c r="I22" t="s">
        <v>116</v>
      </c>
      <c r="J22" t="s">
        <v>1162</v>
      </c>
    </row>
    <row r="23" spans="1:10" x14ac:dyDescent="0.3">
      <c r="A23" t="s">
        <v>1163</v>
      </c>
      <c r="B23" t="s">
        <v>1141</v>
      </c>
      <c r="C23" t="s">
        <v>1164</v>
      </c>
      <c r="D23" s="3" t="s">
        <v>1165</v>
      </c>
      <c r="E23" s="3" t="s">
        <v>1166</v>
      </c>
      <c r="F23" s="3" t="s">
        <v>1167</v>
      </c>
      <c r="G23" s="5">
        <v>3</v>
      </c>
      <c r="H23" s="5">
        <v>5</v>
      </c>
      <c r="I23" t="s">
        <v>116</v>
      </c>
      <c r="J23" t="s">
        <v>1168</v>
      </c>
    </row>
    <row r="24" spans="1:10" x14ac:dyDescent="0.3">
      <c r="A24" t="s">
        <v>1169</v>
      </c>
      <c r="B24" t="s">
        <v>1141</v>
      </c>
      <c r="C24" t="s">
        <v>1170</v>
      </c>
      <c r="D24" s="3" t="s">
        <v>1171</v>
      </c>
      <c r="E24" s="3" t="s">
        <v>1172</v>
      </c>
      <c r="F24" s="3" t="s">
        <v>1173</v>
      </c>
      <c r="G24" s="5">
        <v>3</v>
      </c>
      <c r="H24" s="5">
        <v>9</v>
      </c>
      <c r="I24" t="s">
        <v>116</v>
      </c>
      <c r="J24" t="s">
        <v>1174</v>
      </c>
    </row>
    <row r="25" spans="1:10" ht="28.8" x14ac:dyDescent="0.3">
      <c r="A25" t="s">
        <v>1175</v>
      </c>
      <c r="B25" t="s">
        <v>1141</v>
      </c>
      <c r="C25" t="s">
        <v>1176</v>
      </c>
      <c r="D25" s="3" t="s">
        <v>1177</v>
      </c>
      <c r="E25" s="3" t="s">
        <v>1178</v>
      </c>
      <c r="F25" s="3" t="s">
        <v>1179</v>
      </c>
      <c r="G25" s="5">
        <v>5</v>
      </c>
      <c r="H25" s="5">
        <v>12</v>
      </c>
      <c r="I25" t="s">
        <v>116</v>
      </c>
      <c r="J25" t="s">
        <v>1180</v>
      </c>
    </row>
    <row r="26" spans="1:10" ht="28.8" x14ac:dyDescent="0.3">
      <c r="A26" t="s">
        <v>1181</v>
      </c>
      <c r="B26" t="s">
        <v>1141</v>
      </c>
      <c r="C26" t="s">
        <v>1176</v>
      </c>
      <c r="D26" s="3" t="s">
        <v>1182</v>
      </c>
      <c r="E26" s="3" t="s">
        <v>1183</v>
      </c>
      <c r="F26" s="3" t="s">
        <v>1184</v>
      </c>
      <c r="G26" s="5">
        <v>5</v>
      </c>
      <c r="H26" s="5">
        <v>13</v>
      </c>
      <c r="I26" t="s">
        <v>116</v>
      </c>
      <c r="J26" t="s">
        <v>1185</v>
      </c>
    </row>
    <row r="27" spans="1:10" x14ac:dyDescent="0.3">
      <c r="A27" t="s">
        <v>1186</v>
      </c>
      <c r="B27" t="s">
        <v>1187</v>
      </c>
      <c r="C27" t="s">
        <v>1188</v>
      </c>
      <c r="D27" s="3" t="s">
        <v>1189</v>
      </c>
      <c r="E27" s="3" t="s">
        <v>1190</v>
      </c>
      <c r="F27" s="3" t="s">
        <v>1191</v>
      </c>
      <c r="G27" s="5">
        <v>6</v>
      </c>
      <c r="H27" s="5">
        <v>5</v>
      </c>
      <c r="I27" t="s">
        <v>903</v>
      </c>
      <c r="J27" t="s">
        <v>1192</v>
      </c>
    </row>
    <row r="28" spans="1:10" x14ac:dyDescent="0.3">
      <c r="A28" t="s">
        <v>1193</v>
      </c>
      <c r="B28" t="s">
        <v>1187</v>
      </c>
      <c r="C28" t="s">
        <v>1194</v>
      </c>
      <c r="D28" s="3" t="s">
        <v>1195</v>
      </c>
      <c r="E28" s="3" t="s">
        <v>1196</v>
      </c>
      <c r="F28" s="3" t="s">
        <v>1197</v>
      </c>
      <c r="G28" s="5">
        <v>6</v>
      </c>
      <c r="H28" s="5">
        <v>6</v>
      </c>
      <c r="I28" t="s">
        <v>903</v>
      </c>
      <c r="J28" t="s">
        <v>1198</v>
      </c>
    </row>
    <row r="29" spans="1:10" x14ac:dyDescent="0.3">
      <c r="A29" t="s">
        <v>1199</v>
      </c>
      <c r="B29" t="s">
        <v>1187</v>
      </c>
      <c r="C29" t="s">
        <v>1200</v>
      </c>
      <c r="D29" s="3" t="s">
        <v>1201</v>
      </c>
      <c r="E29" s="3" t="s">
        <v>1202</v>
      </c>
      <c r="F29" s="3" t="s">
        <v>1203</v>
      </c>
      <c r="G29" s="5">
        <v>6</v>
      </c>
      <c r="H29" s="5">
        <v>6</v>
      </c>
      <c r="I29" t="s">
        <v>903</v>
      </c>
      <c r="J29" t="s">
        <v>1204</v>
      </c>
    </row>
    <row r="30" spans="1:10" x14ac:dyDescent="0.3">
      <c r="A30" t="s">
        <v>1205</v>
      </c>
      <c r="B30" t="s">
        <v>1187</v>
      </c>
      <c r="C30" t="s">
        <v>1206</v>
      </c>
      <c r="D30" s="3" t="s">
        <v>1207</v>
      </c>
      <c r="E30" s="3" t="s">
        <v>1208</v>
      </c>
      <c r="F30" s="3" t="s">
        <v>1209</v>
      </c>
      <c r="G30" s="5">
        <v>6</v>
      </c>
      <c r="H30" s="5">
        <v>6</v>
      </c>
      <c r="I30" t="s">
        <v>903</v>
      </c>
      <c r="J30" t="s">
        <v>1210</v>
      </c>
    </row>
    <row r="31" spans="1:10" x14ac:dyDescent="0.3">
      <c r="A31" t="s">
        <v>1211</v>
      </c>
      <c r="B31" t="s">
        <v>1187</v>
      </c>
      <c r="C31" t="s">
        <v>1212</v>
      </c>
      <c r="D31" s="3" t="s">
        <v>1213</v>
      </c>
      <c r="E31" s="3" t="s">
        <v>1214</v>
      </c>
      <c r="F31" s="3" t="s">
        <v>1215</v>
      </c>
      <c r="G31" s="5">
        <v>6</v>
      </c>
      <c r="H31" s="5">
        <v>8</v>
      </c>
      <c r="I31" t="s">
        <v>903</v>
      </c>
      <c r="J31" t="s">
        <v>1216</v>
      </c>
    </row>
    <row r="32" spans="1:10" x14ac:dyDescent="0.3">
      <c r="A32" t="s">
        <v>1217</v>
      </c>
      <c r="B32" t="s">
        <v>1187</v>
      </c>
      <c r="C32" t="s">
        <v>1218</v>
      </c>
      <c r="D32" s="3" t="s">
        <v>1219</v>
      </c>
      <c r="E32" s="3" t="s">
        <v>1220</v>
      </c>
      <c r="F32" s="3" t="s">
        <v>1221</v>
      </c>
      <c r="G32" s="5">
        <v>7</v>
      </c>
      <c r="H32" s="5">
        <v>6</v>
      </c>
      <c r="I32" t="s">
        <v>903</v>
      </c>
      <c r="J32" t="s">
        <v>1222</v>
      </c>
    </row>
    <row r="33" spans="1:10" x14ac:dyDescent="0.3">
      <c r="A33" t="s">
        <v>1223</v>
      </c>
      <c r="B33" t="s">
        <v>1187</v>
      </c>
      <c r="C33" t="s">
        <v>1224</v>
      </c>
      <c r="D33" s="3" t="s">
        <v>1225</v>
      </c>
      <c r="E33" s="3" t="s">
        <v>1226</v>
      </c>
      <c r="F33" s="3" t="s">
        <v>1227</v>
      </c>
      <c r="G33" s="5">
        <v>7</v>
      </c>
      <c r="H33" s="5">
        <v>6</v>
      </c>
      <c r="I33" t="s">
        <v>903</v>
      </c>
      <c r="J33" t="s">
        <v>1228</v>
      </c>
    </row>
    <row r="34" spans="1:10" x14ac:dyDescent="0.3">
      <c r="A34" t="s">
        <v>1229</v>
      </c>
      <c r="B34" t="s">
        <v>1187</v>
      </c>
      <c r="C34" t="s">
        <v>1230</v>
      </c>
      <c r="D34" s="3" t="s">
        <v>1231</v>
      </c>
      <c r="E34" s="3" t="s">
        <v>1232</v>
      </c>
      <c r="F34" s="3" t="s">
        <v>1233</v>
      </c>
      <c r="G34" s="5">
        <v>7</v>
      </c>
      <c r="H34" s="5">
        <v>7</v>
      </c>
      <c r="I34" t="s">
        <v>903</v>
      </c>
      <c r="J34" t="s">
        <v>1234</v>
      </c>
    </row>
    <row r="35" spans="1:10" x14ac:dyDescent="0.3">
      <c r="A35" t="s">
        <v>1235</v>
      </c>
      <c r="B35" t="s">
        <v>1187</v>
      </c>
      <c r="C35" t="s">
        <v>1236</v>
      </c>
      <c r="D35" s="3" t="s">
        <v>1237</v>
      </c>
      <c r="E35" s="3" t="s">
        <v>1238</v>
      </c>
      <c r="F35" s="3" t="s">
        <v>1239</v>
      </c>
      <c r="G35" s="5">
        <v>7</v>
      </c>
      <c r="H35" s="5">
        <v>7</v>
      </c>
      <c r="I35" t="s">
        <v>903</v>
      </c>
      <c r="J35" t="s">
        <v>1240</v>
      </c>
    </row>
    <row r="36" spans="1:10" x14ac:dyDescent="0.3">
      <c r="A36" t="s">
        <v>1241</v>
      </c>
      <c r="B36" t="s">
        <v>1187</v>
      </c>
      <c r="C36" t="s">
        <v>1242</v>
      </c>
      <c r="D36" s="3" t="s">
        <v>1243</v>
      </c>
      <c r="E36" s="3" t="s">
        <v>1244</v>
      </c>
      <c r="F36" s="3" t="s">
        <v>1245</v>
      </c>
      <c r="G36" s="5">
        <v>7</v>
      </c>
      <c r="H36" s="5">
        <v>7</v>
      </c>
      <c r="I36" t="s">
        <v>116</v>
      </c>
      <c r="J36" t="s">
        <v>1246</v>
      </c>
    </row>
    <row r="37" spans="1:10" x14ac:dyDescent="0.3">
      <c r="A37" t="s">
        <v>1247</v>
      </c>
      <c r="B37" t="s">
        <v>1187</v>
      </c>
      <c r="C37" t="s">
        <v>1248</v>
      </c>
      <c r="D37" s="3" t="s">
        <v>1249</v>
      </c>
      <c r="E37" s="3" t="s">
        <v>1250</v>
      </c>
      <c r="F37" s="3" t="s">
        <v>1251</v>
      </c>
      <c r="G37" s="5">
        <v>7</v>
      </c>
      <c r="H37" s="5">
        <v>7</v>
      </c>
      <c r="I37" t="s">
        <v>116</v>
      </c>
      <c r="J37" t="s">
        <v>1252</v>
      </c>
    </row>
    <row r="38" spans="1:10" x14ac:dyDescent="0.3">
      <c r="A38" t="s">
        <v>1253</v>
      </c>
      <c r="B38" t="s">
        <v>1187</v>
      </c>
      <c r="C38" t="s">
        <v>1254</v>
      </c>
      <c r="D38" s="3" t="s">
        <v>1255</v>
      </c>
      <c r="E38" s="3" t="s">
        <v>1256</v>
      </c>
      <c r="F38" s="3" t="s">
        <v>1257</v>
      </c>
      <c r="G38" s="5">
        <v>7</v>
      </c>
      <c r="H38" s="5">
        <v>10</v>
      </c>
      <c r="I38" t="s">
        <v>116</v>
      </c>
      <c r="J38" t="s">
        <v>1258</v>
      </c>
    </row>
    <row r="39" spans="1:10" x14ac:dyDescent="0.3">
      <c r="A39" t="s">
        <v>1259</v>
      </c>
      <c r="B39" t="s">
        <v>1187</v>
      </c>
      <c r="C39" t="s">
        <v>1260</v>
      </c>
      <c r="D39" s="3" t="s">
        <v>1261</v>
      </c>
      <c r="E39" s="3" t="s">
        <v>1262</v>
      </c>
      <c r="F39" s="3" t="s">
        <v>1263</v>
      </c>
      <c r="G39" s="5">
        <v>7</v>
      </c>
      <c r="H39" s="5">
        <v>7</v>
      </c>
      <c r="I39" t="s">
        <v>116</v>
      </c>
      <c r="J39" t="s">
        <v>1264</v>
      </c>
    </row>
    <row r="40" spans="1:10" x14ac:dyDescent="0.3">
      <c r="A40" t="s">
        <v>1265</v>
      </c>
      <c r="B40" t="s">
        <v>1187</v>
      </c>
      <c r="C40" t="s">
        <v>1266</v>
      </c>
      <c r="D40" s="3" t="s">
        <v>1267</v>
      </c>
      <c r="E40" s="3" t="s">
        <v>1268</v>
      </c>
      <c r="F40" s="3" t="s">
        <v>1269</v>
      </c>
      <c r="G40" s="5">
        <v>7</v>
      </c>
      <c r="H40" s="5">
        <v>8</v>
      </c>
      <c r="I40" t="s">
        <v>116</v>
      </c>
      <c r="J40" t="s">
        <v>1270</v>
      </c>
    </row>
    <row r="41" spans="1:10" ht="28.8" x14ac:dyDescent="0.3">
      <c r="A41" t="s">
        <v>1271</v>
      </c>
      <c r="B41" t="s">
        <v>1187</v>
      </c>
      <c r="C41" t="s">
        <v>1272</v>
      </c>
      <c r="D41" s="3" t="s">
        <v>1273</v>
      </c>
      <c r="E41" s="3" t="s">
        <v>1274</v>
      </c>
      <c r="F41" s="3" t="s">
        <v>1275</v>
      </c>
      <c r="G41" s="5">
        <v>12</v>
      </c>
      <c r="H41" s="5">
        <v>10</v>
      </c>
      <c r="I41" t="s">
        <v>116</v>
      </c>
      <c r="J41" t="s">
        <v>1276</v>
      </c>
    </row>
    <row r="42" spans="1:10" x14ac:dyDescent="0.3">
      <c r="A42" t="s">
        <v>1277</v>
      </c>
      <c r="B42" t="s">
        <v>1187</v>
      </c>
      <c r="C42" t="s">
        <v>1278</v>
      </c>
      <c r="D42" s="3" t="s">
        <v>1279</v>
      </c>
      <c r="E42" s="3" t="s">
        <v>1280</v>
      </c>
      <c r="F42" s="3" t="s">
        <v>1281</v>
      </c>
      <c r="G42" s="5">
        <v>12</v>
      </c>
      <c r="H42" s="5">
        <v>12</v>
      </c>
      <c r="I42" t="s">
        <v>116</v>
      </c>
      <c r="J42" t="s">
        <v>1282</v>
      </c>
    </row>
    <row r="43" spans="1:10" ht="28.8" x14ac:dyDescent="0.3">
      <c r="A43" t="s">
        <v>1283</v>
      </c>
      <c r="B43" t="s">
        <v>1284</v>
      </c>
      <c r="C43" t="s">
        <v>1285</v>
      </c>
      <c r="D43" s="3" t="s">
        <v>1286</v>
      </c>
      <c r="E43" s="3" t="s">
        <v>1287</v>
      </c>
      <c r="F43" s="3" t="s">
        <v>1288</v>
      </c>
      <c r="G43" s="5">
        <v>9</v>
      </c>
      <c r="H43" s="5">
        <v>10</v>
      </c>
      <c r="I43" t="s">
        <v>116</v>
      </c>
      <c r="J43" t="s">
        <v>1289</v>
      </c>
    </row>
    <row r="44" spans="1:10" ht="28.8" x14ac:dyDescent="0.3">
      <c r="A44" t="s">
        <v>1290</v>
      </c>
      <c r="B44" t="s">
        <v>1284</v>
      </c>
      <c r="C44" t="s">
        <v>1285</v>
      </c>
      <c r="D44" s="3" t="s">
        <v>1291</v>
      </c>
      <c r="E44" s="3" t="s">
        <v>1292</v>
      </c>
      <c r="F44" s="3" t="s">
        <v>1293</v>
      </c>
      <c r="G44" s="5">
        <v>9</v>
      </c>
      <c r="H44" s="5">
        <v>12</v>
      </c>
      <c r="I44" t="s">
        <v>116</v>
      </c>
      <c r="J44" t="s">
        <v>1294</v>
      </c>
    </row>
    <row r="45" spans="1:10" x14ac:dyDescent="0.3">
      <c r="A45" t="s">
        <v>1295</v>
      </c>
      <c r="B45" t="s">
        <v>1284</v>
      </c>
      <c r="C45" t="s">
        <v>1296</v>
      </c>
      <c r="D45" s="3" t="s">
        <v>1297</v>
      </c>
      <c r="E45" s="3" t="s">
        <v>1298</v>
      </c>
      <c r="F45" s="3" t="s">
        <v>1299</v>
      </c>
      <c r="G45" s="5">
        <v>9</v>
      </c>
      <c r="H45" s="5">
        <v>14</v>
      </c>
      <c r="I45" t="s">
        <v>116</v>
      </c>
      <c r="J45" t="s">
        <v>1300</v>
      </c>
    </row>
    <row r="46" spans="1:10" x14ac:dyDescent="0.3">
      <c r="A46" t="s">
        <v>1301</v>
      </c>
      <c r="B46" t="s">
        <v>1284</v>
      </c>
      <c r="C46" t="s">
        <v>1296</v>
      </c>
      <c r="D46" s="3" t="s">
        <v>1302</v>
      </c>
      <c r="E46" s="3" t="s">
        <v>1303</v>
      </c>
      <c r="F46" s="3" t="s">
        <v>1304</v>
      </c>
      <c r="G46" s="5">
        <v>9</v>
      </c>
      <c r="H46" s="5">
        <v>14</v>
      </c>
      <c r="I46" t="s">
        <v>116</v>
      </c>
      <c r="J46" t="s">
        <v>1305</v>
      </c>
    </row>
    <row r="47" spans="1:10" x14ac:dyDescent="0.3">
      <c r="A47" t="s">
        <v>1306</v>
      </c>
      <c r="B47" t="s">
        <v>1284</v>
      </c>
      <c r="C47" t="s">
        <v>1307</v>
      </c>
      <c r="D47" s="3" t="s">
        <v>1308</v>
      </c>
      <c r="E47" s="3" t="s">
        <v>1309</v>
      </c>
      <c r="F47" s="3" t="s">
        <v>1310</v>
      </c>
      <c r="G47" s="5">
        <v>9</v>
      </c>
      <c r="H47" s="5">
        <v>15</v>
      </c>
      <c r="I47" t="s">
        <v>116</v>
      </c>
      <c r="J47" t="s">
        <v>1311</v>
      </c>
    </row>
    <row r="48" spans="1:10" x14ac:dyDescent="0.3">
      <c r="A48" t="s">
        <v>1312</v>
      </c>
      <c r="B48" t="s">
        <v>1284</v>
      </c>
      <c r="C48" t="s">
        <v>1307</v>
      </c>
      <c r="D48" s="3" t="s">
        <v>1313</v>
      </c>
      <c r="E48" s="3" t="s">
        <v>1314</v>
      </c>
      <c r="F48" s="3" t="s">
        <v>1315</v>
      </c>
      <c r="G48" s="5">
        <v>9</v>
      </c>
      <c r="H48" s="5">
        <v>16</v>
      </c>
      <c r="I48" t="s">
        <v>116</v>
      </c>
      <c r="J48" t="s">
        <v>1316</v>
      </c>
    </row>
    <row r="49" spans="1:10" x14ac:dyDescent="0.3">
      <c r="A49" t="s">
        <v>1317</v>
      </c>
      <c r="B49" t="s">
        <v>1284</v>
      </c>
      <c r="C49" t="s">
        <v>1318</v>
      </c>
      <c r="D49" s="3" t="s">
        <v>1319</v>
      </c>
      <c r="E49" s="3" t="s">
        <v>1149</v>
      </c>
      <c r="F49" s="3" t="s">
        <v>1320</v>
      </c>
      <c r="G49" s="5">
        <v>3</v>
      </c>
      <c r="H49" s="5">
        <v>8</v>
      </c>
      <c r="I49" t="s">
        <v>116</v>
      </c>
      <c r="J49" t="s">
        <v>1321</v>
      </c>
    </row>
    <row r="50" spans="1:10" x14ac:dyDescent="0.3">
      <c r="A50" t="s">
        <v>1322</v>
      </c>
      <c r="B50" t="s">
        <v>1284</v>
      </c>
      <c r="C50" t="s">
        <v>1323</v>
      </c>
      <c r="D50" s="3" t="s">
        <v>1324</v>
      </c>
      <c r="E50" s="3" t="s">
        <v>1166</v>
      </c>
      <c r="F50" s="3" t="s">
        <v>1325</v>
      </c>
      <c r="G50" s="5">
        <v>3</v>
      </c>
      <c r="H50" s="5">
        <v>8</v>
      </c>
      <c r="I50" t="s">
        <v>116</v>
      </c>
      <c r="J50" t="s">
        <v>1326</v>
      </c>
    </row>
    <row r="51" spans="1:10" x14ac:dyDescent="0.3">
      <c r="A51" t="s">
        <v>1327</v>
      </c>
      <c r="B51" t="s">
        <v>1284</v>
      </c>
      <c r="C51" t="s">
        <v>1323</v>
      </c>
      <c r="D51" s="3" t="s">
        <v>1328</v>
      </c>
      <c r="E51" s="3" t="s">
        <v>1172</v>
      </c>
      <c r="F51" s="3" t="s">
        <v>1329</v>
      </c>
      <c r="G51" s="5">
        <v>3</v>
      </c>
      <c r="H51" s="5">
        <v>12</v>
      </c>
      <c r="I51" t="s">
        <v>116</v>
      </c>
      <c r="J51" t="s">
        <v>1330</v>
      </c>
    </row>
    <row r="52" spans="1:10" ht="28.8" x14ac:dyDescent="0.3">
      <c r="A52" t="s">
        <v>1331</v>
      </c>
      <c r="B52" t="s">
        <v>1284</v>
      </c>
      <c r="C52" t="s">
        <v>1323</v>
      </c>
      <c r="D52" s="3" t="s">
        <v>1332</v>
      </c>
      <c r="E52" s="3" t="s">
        <v>1333</v>
      </c>
      <c r="F52" s="3" t="s">
        <v>1334</v>
      </c>
      <c r="G52" s="5">
        <v>8</v>
      </c>
      <c r="H52" s="5">
        <v>20</v>
      </c>
      <c r="I52" t="s">
        <v>116</v>
      </c>
      <c r="J52" t="s">
        <v>1335</v>
      </c>
    </row>
    <row r="53" spans="1:10" x14ac:dyDescent="0.3">
      <c r="A53" t="s">
        <v>1336</v>
      </c>
      <c r="B53" t="s">
        <v>1284</v>
      </c>
      <c r="C53" t="s">
        <v>1337</v>
      </c>
      <c r="D53" s="3" t="s">
        <v>1338</v>
      </c>
      <c r="E53" s="3" t="s">
        <v>1339</v>
      </c>
      <c r="F53" s="3" t="s">
        <v>1340</v>
      </c>
      <c r="G53" s="5">
        <v>10</v>
      </c>
      <c r="H53" s="5">
        <v>14</v>
      </c>
      <c r="I53" t="s">
        <v>116</v>
      </c>
      <c r="J53" t="s">
        <v>1341</v>
      </c>
    </row>
    <row r="54" spans="1:10" ht="28.8" x14ac:dyDescent="0.3">
      <c r="A54" t="s">
        <v>1342</v>
      </c>
      <c r="B54" t="s">
        <v>1284</v>
      </c>
      <c r="C54" t="s">
        <v>1337</v>
      </c>
      <c r="D54" s="3" t="s">
        <v>1343</v>
      </c>
      <c r="E54" s="3" t="s">
        <v>1344</v>
      </c>
      <c r="F54" s="3" t="s">
        <v>1345</v>
      </c>
      <c r="G54" s="5">
        <v>10</v>
      </c>
      <c r="H54" s="5">
        <v>16</v>
      </c>
      <c r="I54" t="s">
        <v>116</v>
      </c>
      <c r="J54" t="s">
        <v>1346</v>
      </c>
    </row>
    <row r="55" spans="1:10" x14ac:dyDescent="0.3">
      <c r="A55" t="s">
        <v>1347</v>
      </c>
      <c r="B55" t="s">
        <v>1284</v>
      </c>
      <c r="C55" t="s">
        <v>1348</v>
      </c>
      <c r="D55" s="3" t="s">
        <v>1349</v>
      </c>
      <c r="E55" s="3" t="s">
        <v>1350</v>
      </c>
      <c r="F55" s="3" t="s">
        <v>1351</v>
      </c>
      <c r="G55" s="5">
        <v>10</v>
      </c>
      <c r="H55" s="5">
        <v>10</v>
      </c>
      <c r="I55" t="s">
        <v>116</v>
      </c>
      <c r="J55" t="s">
        <v>1352</v>
      </c>
    </row>
    <row r="56" spans="1:10" x14ac:dyDescent="0.3">
      <c r="A56" t="s">
        <v>1353</v>
      </c>
      <c r="B56" t="s">
        <v>1354</v>
      </c>
      <c r="C56" t="s">
        <v>1355</v>
      </c>
      <c r="D56" s="3" t="s">
        <v>1356</v>
      </c>
      <c r="E56" s="3" t="s">
        <v>1357</v>
      </c>
      <c r="F56" s="3" t="s">
        <v>1358</v>
      </c>
      <c r="G56" s="5">
        <v>3</v>
      </c>
      <c r="H56" s="5">
        <v>14</v>
      </c>
      <c r="I56" t="s">
        <v>116</v>
      </c>
      <c r="J56" t="s">
        <v>1174</v>
      </c>
    </row>
    <row r="57" spans="1:10" x14ac:dyDescent="0.3">
      <c r="A57" t="s">
        <v>1359</v>
      </c>
      <c r="B57" t="s">
        <v>1354</v>
      </c>
      <c r="C57" t="s">
        <v>1360</v>
      </c>
      <c r="D57" s="3" t="s">
        <v>1361</v>
      </c>
      <c r="E57" s="3" t="s">
        <v>1362</v>
      </c>
      <c r="F57" s="3" t="s">
        <v>1363</v>
      </c>
      <c r="G57" s="5">
        <v>11</v>
      </c>
      <c r="H57" s="5">
        <v>20</v>
      </c>
      <c r="I57" t="s">
        <v>116</v>
      </c>
      <c r="J57" t="s">
        <v>1364</v>
      </c>
    </row>
    <row r="58" spans="1:10" x14ac:dyDescent="0.3">
      <c r="A58" t="s">
        <v>1365</v>
      </c>
      <c r="B58" t="s">
        <v>1354</v>
      </c>
      <c r="C58" t="s">
        <v>1366</v>
      </c>
      <c r="D58" s="3" t="s">
        <v>1367</v>
      </c>
      <c r="E58" s="3" t="s">
        <v>1368</v>
      </c>
      <c r="F58" s="3" t="s">
        <v>1369</v>
      </c>
      <c r="G58" s="5">
        <v>11</v>
      </c>
      <c r="H58" s="5">
        <v>20</v>
      </c>
      <c r="I58" t="s">
        <v>116</v>
      </c>
      <c r="J58" t="s">
        <v>1370</v>
      </c>
    </row>
    <row r="59" spans="1:10" x14ac:dyDescent="0.3">
      <c r="A59" t="s">
        <v>1371</v>
      </c>
      <c r="B59" t="s">
        <v>1354</v>
      </c>
      <c r="C59" t="s">
        <v>1366</v>
      </c>
      <c r="D59" s="3" t="s">
        <v>1372</v>
      </c>
      <c r="E59" s="3" t="s">
        <v>1373</v>
      </c>
      <c r="F59" s="3" t="s">
        <v>1374</v>
      </c>
      <c r="G59" s="5">
        <v>11</v>
      </c>
      <c r="H59" s="5">
        <v>20</v>
      </c>
      <c r="I59" t="s">
        <v>116</v>
      </c>
      <c r="J59" t="s">
        <v>1375</v>
      </c>
    </row>
    <row r="60" spans="1:10" ht="28.8" x14ac:dyDescent="0.3">
      <c r="A60" t="s">
        <v>1376</v>
      </c>
      <c r="B60" t="s">
        <v>1354</v>
      </c>
      <c r="C60" t="s">
        <v>1377</v>
      </c>
      <c r="D60" s="3" t="s">
        <v>1378</v>
      </c>
      <c r="E60" s="3" t="s">
        <v>1379</v>
      </c>
      <c r="F60" s="3" t="s">
        <v>1380</v>
      </c>
      <c r="G60" s="5">
        <v>12</v>
      </c>
      <c r="H60" s="5">
        <v>24</v>
      </c>
      <c r="I60" t="s">
        <v>116</v>
      </c>
      <c r="J60" t="s">
        <v>1381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BCF0-C4D7-4A6A-B4A0-206C80972154}">
  <sheetPr>
    <tabColor rgb="FF7B5EA7"/>
  </sheetPr>
  <dimension ref="A1:H171"/>
  <sheetViews>
    <sheetView workbookViewId="0">
      <pane ySplit="1" topLeftCell="A6" activePane="bottomLeft" state="frozen"/>
      <selection pane="bottomLeft" sqref="A1:B1"/>
    </sheetView>
  </sheetViews>
  <sheetFormatPr defaultRowHeight="14.4" x14ac:dyDescent="0.3"/>
  <cols>
    <col min="1" max="1" width="11.88671875" bestFit="1" customWidth="1"/>
    <col min="2" max="2" width="12.109375" bestFit="1" customWidth="1"/>
    <col min="3" max="3" width="15.6640625" bestFit="1" customWidth="1"/>
    <col min="4" max="4" width="10.77734375" bestFit="1" customWidth="1"/>
    <col min="5" max="5" width="26.33203125" bestFit="1" customWidth="1"/>
    <col min="6" max="6" width="17.6640625" bestFit="1" customWidth="1"/>
    <col min="7" max="8" width="35.21875" style="3" customWidth="1"/>
  </cols>
  <sheetData>
    <row r="1" spans="1:8" x14ac:dyDescent="0.3">
      <c r="A1" t="s">
        <v>1041</v>
      </c>
      <c r="B1" t="s">
        <v>1382</v>
      </c>
      <c r="C1" t="s">
        <v>1383</v>
      </c>
      <c r="D1" t="s">
        <v>1384</v>
      </c>
      <c r="E1" t="s">
        <v>1385</v>
      </c>
      <c r="F1" t="s">
        <v>1386</v>
      </c>
      <c r="G1" s="3" t="s">
        <v>1387</v>
      </c>
      <c r="H1" s="3" t="s">
        <v>34</v>
      </c>
    </row>
    <row r="2" spans="1:8" x14ac:dyDescent="0.3">
      <c r="A2" t="s">
        <v>1051</v>
      </c>
      <c r="B2" s="5">
        <v>1</v>
      </c>
      <c r="C2" t="s">
        <v>1055</v>
      </c>
      <c r="D2" t="s">
        <v>116</v>
      </c>
      <c r="E2" t="s">
        <v>113</v>
      </c>
      <c r="F2" t="s">
        <v>1388</v>
      </c>
    </row>
    <row r="3" spans="1:8" x14ac:dyDescent="0.3">
      <c r="A3" t="s">
        <v>1058</v>
      </c>
      <c r="B3" s="5">
        <v>1</v>
      </c>
      <c r="C3" t="s">
        <v>903</v>
      </c>
      <c r="D3" t="s">
        <v>116</v>
      </c>
      <c r="E3" t="s">
        <v>223</v>
      </c>
      <c r="F3" t="s">
        <v>224</v>
      </c>
    </row>
    <row r="4" spans="1:8" x14ac:dyDescent="0.3">
      <c r="A4" t="s">
        <v>1062</v>
      </c>
      <c r="B4" s="5">
        <v>1</v>
      </c>
      <c r="C4" t="s">
        <v>1389</v>
      </c>
      <c r="D4" t="s">
        <v>116</v>
      </c>
      <c r="E4" t="s">
        <v>163</v>
      </c>
      <c r="F4" t="s">
        <v>1390</v>
      </c>
    </row>
    <row r="5" spans="1:8" x14ac:dyDescent="0.3">
      <c r="A5" t="s">
        <v>1062</v>
      </c>
      <c r="B5" s="5">
        <v>2</v>
      </c>
      <c r="C5" t="s">
        <v>903</v>
      </c>
      <c r="D5" t="s">
        <v>116</v>
      </c>
      <c r="E5" t="s">
        <v>223</v>
      </c>
      <c r="F5" t="s">
        <v>224</v>
      </c>
    </row>
    <row r="6" spans="1:8" x14ac:dyDescent="0.3">
      <c r="A6" t="s">
        <v>1067</v>
      </c>
      <c r="B6" s="5">
        <v>1</v>
      </c>
      <c r="C6" t="s">
        <v>1389</v>
      </c>
      <c r="D6" t="s">
        <v>116</v>
      </c>
      <c r="E6" t="s">
        <v>163</v>
      </c>
      <c r="F6" t="s">
        <v>1390</v>
      </c>
    </row>
    <row r="7" spans="1:8" x14ac:dyDescent="0.3">
      <c r="A7" t="s">
        <v>1067</v>
      </c>
      <c r="B7" s="5">
        <v>2</v>
      </c>
      <c r="C7" t="s">
        <v>1391</v>
      </c>
      <c r="D7" t="s">
        <v>116</v>
      </c>
      <c r="E7" t="s">
        <v>365</v>
      </c>
      <c r="F7" t="s">
        <v>1390</v>
      </c>
    </row>
    <row r="8" spans="1:8" x14ac:dyDescent="0.3">
      <c r="A8" t="s">
        <v>1067</v>
      </c>
      <c r="B8" s="5">
        <v>3</v>
      </c>
      <c r="C8" t="s">
        <v>903</v>
      </c>
      <c r="D8" t="s">
        <v>116</v>
      </c>
      <c r="E8" t="s">
        <v>223</v>
      </c>
      <c r="F8" t="s">
        <v>224</v>
      </c>
    </row>
    <row r="9" spans="1:8" x14ac:dyDescent="0.3">
      <c r="A9" t="s">
        <v>1072</v>
      </c>
      <c r="B9" s="5">
        <v>1</v>
      </c>
      <c r="C9" t="s">
        <v>1389</v>
      </c>
      <c r="D9" t="s">
        <v>116</v>
      </c>
      <c r="E9" t="s">
        <v>163</v>
      </c>
      <c r="F9" t="s">
        <v>1390</v>
      </c>
    </row>
    <row r="10" spans="1:8" x14ac:dyDescent="0.3">
      <c r="A10" t="s">
        <v>1072</v>
      </c>
      <c r="B10" s="5">
        <v>2</v>
      </c>
      <c r="C10" t="s">
        <v>1392</v>
      </c>
      <c r="D10" t="s">
        <v>116</v>
      </c>
      <c r="E10" t="s">
        <v>459</v>
      </c>
      <c r="F10" t="s">
        <v>1390</v>
      </c>
    </row>
    <row r="11" spans="1:8" x14ac:dyDescent="0.3">
      <c r="A11" t="s">
        <v>1072</v>
      </c>
      <c r="B11" s="5">
        <v>3</v>
      </c>
      <c r="C11" t="s">
        <v>1391</v>
      </c>
      <c r="D11" t="s">
        <v>116</v>
      </c>
      <c r="E11" t="s">
        <v>365</v>
      </c>
      <c r="F11" t="s">
        <v>1390</v>
      </c>
    </row>
    <row r="12" spans="1:8" x14ac:dyDescent="0.3">
      <c r="A12" t="s">
        <v>1072</v>
      </c>
      <c r="B12" s="5">
        <v>4</v>
      </c>
      <c r="C12" t="s">
        <v>903</v>
      </c>
      <c r="D12" t="s">
        <v>116</v>
      </c>
      <c r="E12" t="s">
        <v>223</v>
      </c>
      <c r="F12" t="s">
        <v>224</v>
      </c>
    </row>
    <row r="13" spans="1:8" x14ac:dyDescent="0.3">
      <c r="A13" t="s">
        <v>1077</v>
      </c>
      <c r="B13" s="5">
        <v>1</v>
      </c>
      <c r="C13" t="s">
        <v>1389</v>
      </c>
      <c r="D13" t="s">
        <v>116</v>
      </c>
      <c r="E13" t="s">
        <v>163</v>
      </c>
      <c r="F13" t="s">
        <v>1390</v>
      </c>
    </row>
    <row r="14" spans="1:8" x14ac:dyDescent="0.3">
      <c r="A14" t="s">
        <v>1077</v>
      </c>
      <c r="B14" s="5">
        <v>2</v>
      </c>
      <c r="C14" t="s">
        <v>1392</v>
      </c>
      <c r="D14" t="s">
        <v>116</v>
      </c>
      <c r="E14" t="s">
        <v>459</v>
      </c>
      <c r="F14" t="s">
        <v>1390</v>
      </c>
    </row>
    <row r="15" spans="1:8" x14ac:dyDescent="0.3">
      <c r="A15" t="s">
        <v>1077</v>
      </c>
      <c r="B15" s="5">
        <v>3</v>
      </c>
      <c r="C15" t="s">
        <v>1391</v>
      </c>
      <c r="D15" t="s">
        <v>116</v>
      </c>
      <c r="E15" t="s">
        <v>365</v>
      </c>
      <c r="F15" t="s">
        <v>1390</v>
      </c>
    </row>
    <row r="16" spans="1:8" x14ac:dyDescent="0.3">
      <c r="A16" t="s">
        <v>1077</v>
      </c>
      <c r="B16" s="5">
        <v>4</v>
      </c>
      <c r="C16" t="s">
        <v>903</v>
      </c>
      <c r="D16" t="s">
        <v>116</v>
      </c>
      <c r="E16" t="s">
        <v>223</v>
      </c>
      <c r="F16" t="s">
        <v>224</v>
      </c>
    </row>
    <row r="17" spans="1:8" ht="28.8" x14ac:dyDescent="0.3">
      <c r="A17" t="s">
        <v>1077</v>
      </c>
      <c r="B17" s="5">
        <v>5</v>
      </c>
      <c r="C17" t="s">
        <v>924</v>
      </c>
      <c r="D17" t="s">
        <v>116</v>
      </c>
      <c r="E17" t="s">
        <v>1393</v>
      </c>
      <c r="F17" t="s">
        <v>1394</v>
      </c>
      <c r="H17" s="3" t="s">
        <v>1395</v>
      </c>
    </row>
    <row r="18" spans="1:8" ht="28.8" x14ac:dyDescent="0.3">
      <c r="A18" t="s">
        <v>1082</v>
      </c>
      <c r="B18" s="5">
        <v>1</v>
      </c>
      <c r="C18" t="s">
        <v>1396</v>
      </c>
      <c r="D18" t="s">
        <v>116</v>
      </c>
      <c r="E18" t="s">
        <v>1393</v>
      </c>
      <c r="F18" t="s">
        <v>1394</v>
      </c>
      <c r="H18" s="3" t="s">
        <v>1395</v>
      </c>
    </row>
    <row r="19" spans="1:8" x14ac:dyDescent="0.3">
      <c r="A19" t="s">
        <v>1082</v>
      </c>
      <c r="B19" s="5">
        <v>2</v>
      </c>
      <c r="C19" t="s">
        <v>903</v>
      </c>
      <c r="D19" t="s">
        <v>116</v>
      </c>
      <c r="E19" t="s">
        <v>223</v>
      </c>
      <c r="F19" t="s">
        <v>224</v>
      </c>
    </row>
    <row r="20" spans="1:8" ht="28.8" x14ac:dyDescent="0.3">
      <c r="A20" t="s">
        <v>1087</v>
      </c>
      <c r="B20" s="5">
        <v>1</v>
      </c>
      <c r="C20" t="s">
        <v>1397</v>
      </c>
      <c r="D20" t="s">
        <v>116</v>
      </c>
      <c r="E20" t="s">
        <v>1393</v>
      </c>
      <c r="F20" t="s">
        <v>1394</v>
      </c>
      <c r="H20" s="3" t="s">
        <v>1395</v>
      </c>
    </row>
    <row r="21" spans="1:8" ht="28.8" x14ac:dyDescent="0.3">
      <c r="A21" t="s">
        <v>1087</v>
      </c>
      <c r="B21" s="5">
        <v>2</v>
      </c>
      <c r="C21" t="s">
        <v>924</v>
      </c>
      <c r="D21" t="s">
        <v>116</v>
      </c>
      <c r="E21" t="s">
        <v>1393</v>
      </c>
      <c r="F21" t="s">
        <v>1394</v>
      </c>
      <c r="H21" s="3" t="s">
        <v>1395</v>
      </c>
    </row>
    <row r="22" spans="1:8" ht="28.8" x14ac:dyDescent="0.3">
      <c r="A22" t="s">
        <v>1092</v>
      </c>
      <c r="B22" s="5">
        <v>1</v>
      </c>
      <c r="C22" t="s">
        <v>1398</v>
      </c>
      <c r="D22" t="s">
        <v>116</v>
      </c>
      <c r="E22" t="s">
        <v>1393</v>
      </c>
      <c r="F22" t="s">
        <v>1394</v>
      </c>
      <c r="H22" s="3" t="s">
        <v>1395</v>
      </c>
    </row>
    <row r="23" spans="1:8" ht="28.8" x14ac:dyDescent="0.3">
      <c r="A23" t="s">
        <v>1092</v>
      </c>
      <c r="B23" s="5">
        <v>2</v>
      </c>
      <c r="C23" t="s">
        <v>1399</v>
      </c>
      <c r="D23" t="s">
        <v>116</v>
      </c>
      <c r="E23" t="s">
        <v>1393</v>
      </c>
      <c r="F23" t="s">
        <v>1394</v>
      </c>
      <c r="H23" s="3" t="s">
        <v>1395</v>
      </c>
    </row>
    <row r="24" spans="1:8" ht="28.8" x14ac:dyDescent="0.3">
      <c r="A24" t="s">
        <v>1092</v>
      </c>
      <c r="B24" s="5">
        <v>3</v>
      </c>
      <c r="C24" t="s">
        <v>1400</v>
      </c>
      <c r="D24" t="s">
        <v>116</v>
      </c>
      <c r="E24" t="s">
        <v>1393</v>
      </c>
      <c r="F24" t="s">
        <v>1394</v>
      </c>
      <c r="H24" s="3" t="s">
        <v>1395</v>
      </c>
    </row>
    <row r="25" spans="1:8" ht="28.8" x14ac:dyDescent="0.3">
      <c r="A25" t="s">
        <v>1092</v>
      </c>
      <c r="B25" s="5">
        <v>4</v>
      </c>
      <c r="C25" t="s">
        <v>1401</v>
      </c>
      <c r="D25" t="s">
        <v>116</v>
      </c>
      <c r="E25" t="s">
        <v>1393</v>
      </c>
      <c r="F25" t="s">
        <v>1394</v>
      </c>
      <c r="H25" s="3" t="s">
        <v>1395</v>
      </c>
    </row>
    <row r="26" spans="1:8" ht="28.8" x14ac:dyDescent="0.3">
      <c r="A26" t="s">
        <v>1092</v>
      </c>
      <c r="B26" s="5">
        <v>5</v>
      </c>
      <c r="C26" t="s">
        <v>1402</v>
      </c>
      <c r="D26" t="s">
        <v>116</v>
      </c>
      <c r="E26" t="s">
        <v>1393</v>
      </c>
      <c r="F26" t="s">
        <v>1394</v>
      </c>
      <c r="H26" s="3" t="s">
        <v>1395</v>
      </c>
    </row>
    <row r="27" spans="1:8" ht="28.8" x14ac:dyDescent="0.3">
      <c r="A27" t="s">
        <v>1092</v>
      </c>
      <c r="B27" s="5">
        <v>6</v>
      </c>
      <c r="C27" t="s">
        <v>1403</v>
      </c>
      <c r="D27" t="s">
        <v>116</v>
      </c>
      <c r="E27" t="s">
        <v>1393</v>
      </c>
      <c r="F27" t="s">
        <v>1394</v>
      </c>
      <c r="H27" s="3" t="s">
        <v>1395</v>
      </c>
    </row>
    <row r="28" spans="1:8" x14ac:dyDescent="0.3">
      <c r="A28" t="s">
        <v>1098</v>
      </c>
      <c r="B28" s="5">
        <v>1</v>
      </c>
      <c r="C28" t="s">
        <v>1404</v>
      </c>
      <c r="D28" t="s">
        <v>116</v>
      </c>
      <c r="E28" t="s">
        <v>459</v>
      </c>
      <c r="F28" t="s">
        <v>460</v>
      </c>
    </row>
    <row r="29" spans="1:8" x14ac:dyDescent="0.3">
      <c r="A29" t="s">
        <v>1098</v>
      </c>
      <c r="B29" s="5">
        <v>2</v>
      </c>
      <c r="C29" t="s">
        <v>1391</v>
      </c>
      <c r="D29" t="s">
        <v>116</v>
      </c>
      <c r="E29" t="s">
        <v>365</v>
      </c>
      <c r="F29" t="s">
        <v>1390</v>
      </c>
    </row>
    <row r="30" spans="1:8" ht="28.8" x14ac:dyDescent="0.3">
      <c r="A30" t="s">
        <v>1103</v>
      </c>
      <c r="B30" s="5">
        <v>1</v>
      </c>
      <c r="C30" t="s">
        <v>1405</v>
      </c>
      <c r="D30" t="s">
        <v>116</v>
      </c>
      <c r="E30" t="s">
        <v>1393</v>
      </c>
      <c r="F30" t="s">
        <v>1394</v>
      </c>
      <c r="H30" s="3" t="s">
        <v>1395</v>
      </c>
    </row>
    <row r="31" spans="1:8" ht="28.8" x14ac:dyDescent="0.3">
      <c r="A31" t="s">
        <v>1103</v>
      </c>
      <c r="B31" s="5">
        <v>2</v>
      </c>
      <c r="C31" t="s">
        <v>924</v>
      </c>
      <c r="D31" t="s">
        <v>116</v>
      </c>
      <c r="E31" t="s">
        <v>1393</v>
      </c>
      <c r="F31" t="s">
        <v>1394</v>
      </c>
      <c r="H31" s="3" t="s">
        <v>1395</v>
      </c>
    </row>
    <row r="32" spans="1:8" x14ac:dyDescent="0.3">
      <c r="A32" t="s">
        <v>1108</v>
      </c>
      <c r="B32" s="5">
        <v>1</v>
      </c>
      <c r="C32" t="s">
        <v>1404</v>
      </c>
      <c r="D32" t="s">
        <v>116</v>
      </c>
      <c r="E32" t="s">
        <v>459</v>
      </c>
      <c r="F32" t="s">
        <v>460</v>
      </c>
    </row>
    <row r="33" spans="1:6" x14ac:dyDescent="0.3">
      <c r="A33" t="s">
        <v>1108</v>
      </c>
      <c r="B33" s="5">
        <v>2</v>
      </c>
      <c r="C33" t="s">
        <v>1392</v>
      </c>
      <c r="D33" t="s">
        <v>116</v>
      </c>
      <c r="E33" t="s">
        <v>459</v>
      </c>
      <c r="F33" t="s">
        <v>1390</v>
      </c>
    </row>
    <row r="34" spans="1:6" x14ac:dyDescent="0.3">
      <c r="A34" t="s">
        <v>1114</v>
      </c>
      <c r="B34" s="5">
        <v>1</v>
      </c>
      <c r="C34" t="s">
        <v>1392</v>
      </c>
      <c r="D34" t="s">
        <v>116</v>
      </c>
      <c r="E34" t="s">
        <v>459</v>
      </c>
      <c r="F34" t="s">
        <v>1390</v>
      </c>
    </row>
    <row r="35" spans="1:6" x14ac:dyDescent="0.3">
      <c r="A35" t="s">
        <v>1114</v>
      </c>
      <c r="B35" s="5">
        <v>2</v>
      </c>
      <c r="C35" t="s">
        <v>1392</v>
      </c>
      <c r="D35" t="s">
        <v>116</v>
      </c>
      <c r="E35" t="s">
        <v>459</v>
      </c>
      <c r="F35" t="s">
        <v>1390</v>
      </c>
    </row>
    <row r="36" spans="1:6" x14ac:dyDescent="0.3">
      <c r="A36" t="s">
        <v>1119</v>
      </c>
      <c r="B36" s="5">
        <v>1</v>
      </c>
      <c r="C36" t="s">
        <v>1406</v>
      </c>
      <c r="D36" t="s">
        <v>116</v>
      </c>
      <c r="E36" t="s">
        <v>539</v>
      </c>
      <c r="F36" t="s">
        <v>540</v>
      </c>
    </row>
    <row r="37" spans="1:6" x14ac:dyDescent="0.3">
      <c r="A37" t="s">
        <v>1119</v>
      </c>
      <c r="B37" s="5">
        <v>2</v>
      </c>
      <c r="C37" t="s">
        <v>903</v>
      </c>
      <c r="D37" t="s">
        <v>116</v>
      </c>
      <c r="E37" t="s">
        <v>223</v>
      </c>
      <c r="F37" t="s">
        <v>224</v>
      </c>
    </row>
    <row r="38" spans="1:6" x14ac:dyDescent="0.3">
      <c r="A38" t="s">
        <v>1125</v>
      </c>
      <c r="B38" s="5">
        <v>1</v>
      </c>
      <c r="C38" t="s">
        <v>1406</v>
      </c>
      <c r="D38" t="s">
        <v>116</v>
      </c>
      <c r="E38" t="s">
        <v>539</v>
      </c>
      <c r="F38" t="s">
        <v>540</v>
      </c>
    </row>
    <row r="39" spans="1:6" x14ac:dyDescent="0.3">
      <c r="A39" t="s">
        <v>1125</v>
      </c>
      <c r="B39" s="5">
        <v>2</v>
      </c>
      <c r="C39" t="s">
        <v>1389</v>
      </c>
      <c r="D39" t="s">
        <v>116</v>
      </c>
      <c r="E39" t="s">
        <v>163</v>
      </c>
      <c r="F39" t="s">
        <v>1390</v>
      </c>
    </row>
    <row r="40" spans="1:6" x14ac:dyDescent="0.3">
      <c r="A40" t="s">
        <v>1125</v>
      </c>
      <c r="B40" s="5">
        <v>3</v>
      </c>
      <c r="C40" t="s">
        <v>903</v>
      </c>
      <c r="D40" t="s">
        <v>116</v>
      </c>
      <c r="E40" t="s">
        <v>223</v>
      </c>
      <c r="F40" t="s">
        <v>224</v>
      </c>
    </row>
    <row r="41" spans="1:6" x14ac:dyDescent="0.3">
      <c r="A41" t="s">
        <v>1130</v>
      </c>
      <c r="B41" s="5">
        <v>1</v>
      </c>
      <c r="C41" t="s">
        <v>1406</v>
      </c>
      <c r="D41" t="s">
        <v>116</v>
      </c>
      <c r="E41" t="s">
        <v>539</v>
      </c>
      <c r="F41" t="s">
        <v>540</v>
      </c>
    </row>
    <row r="42" spans="1:6" x14ac:dyDescent="0.3">
      <c r="A42" t="s">
        <v>1130</v>
      </c>
      <c r="B42" s="5">
        <v>2</v>
      </c>
      <c r="C42" t="s">
        <v>1389</v>
      </c>
      <c r="D42" t="s">
        <v>116</v>
      </c>
      <c r="E42" t="s">
        <v>163</v>
      </c>
      <c r="F42" t="s">
        <v>1390</v>
      </c>
    </row>
    <row r="43" spans="1:6" x14ac:dyDescent="0.3">
      <c r="A43" t="s">
        <v>1130</v>
      </c>
      <c r="B43" s="5">
        <v>3</v>
      </c>
      <c r="C43" t="s">
        <v>1391</v>
      </c>
      <c r="D43" t="s">
        <v>116</v>
      </c>
      <c r="E43" t="s">
        <v>365</v>
      </c>
      <c r="F43" t="s">
        <v>1390</v>
      </c>
    </row>
    <row r="44" spans="1:6" x14ac:dyDescent="0.3">
      <c r="A44" t="s">
        <v>1130</v>
      </c>
      <c r="B44" s="5">
        <v>4</v>
      </c>
      <c r="C44" t="s">
        <v>903</v>
      </c>
      <c r="D44" t="s">
        <v>116</v>
      </c>
      <c r="E44" t="s">
        <v>223</v>
      </c>
      <c r="F44" t="s">
        <v>224</v>
      </c>
    </row>
    <row r="45" spans="1:6" x14ac:dyDescent="0.3">
      <c r="A45" t="s">
        <v>1135</v>
      </c>
      <c r="B45" s="5">
        <v>1</v>
      </c>
      <c r="C45" t="s">
        <v>1406</v>
      </c>
      <c r="D45" t="s">
        <v>116</v>
      </c>
      <c r="E45" t="s">
        <v>539</v>
      </c>
      <c r="F45" t="s">
        <v>540</v>
      </c>
    </row>
    <row r="46" spans="1:6" x14ac:dyDescent="0.3">
      <c r="A46" t="s">
        <v>1135</v>
      </c>
      <c r="B46" s="5">
        <v>2</v>
      </c>
      <c r="C46" t="s">
        <v>1389</v>
      </c>
      <c r="D46" t="s">
        <v>116</v>
      </c>
      <c r="E46" t="s">
        <v>163</v>
      </c>
      <c r="F46" t="s">
        <v>1390</v>
      </c>
    </row>
    <row r="47" spans="1:6" x14ac:dyDescent="0.3">
      <c r="A47" t="s">
        <v>1135</v>
      </c>
      <c r="B47" s="5">
        <v>3</v>
      </c>
      <c r="C47" t="s">
        <v>1392</v>
      </c>
      <c r="D47" t="s">
        <v>116</v>
      </c>
      <c r="E47" t="s">
        <v>459</v>
      </c>
      <c r="F47" t="s">
        <v>1390</v>
      </c>
    </row>
    <row r="48" spans="1:6" x14ac:dyDescent="0.3">
      <c r="A48" t="s">
        <v>1135</v>
      </c>
      <c r="B48" s="5">
        <v>4</v>
      </c>
      <c r="C48" t="s">
        <v>1391</v>
      </c>
      <c r="D48" t="s">
        <v>116</v>
      </c>
      <c r="E48" t="s">
        <v>365</v>
      </c>
      <c r="F48" t="s">
        <v>1390</v>
      </c>
    </row>
    <row r="49" spans="1:8" x14ac:dyDescent="0.3">
      <c r="A49" t="s">
        <v>1135</v>
      </c>
      <c r="B49" s="5">
        <v>5</v>
      </c>
      <c r="C49" t="s">
        <v>903</v>
      </c>
      <c r="D49" t="s">
        <v>116</v>
      </c>
      <c r="E49" t="s">
        <v>223</v>
      </c>
      <c r="F49" t="s">
        <v>224</v>
      </c>
    </row>
    <row r="50" spans="1:8" x14ac:dyDescent="0.3">
      <c r="A50" t="s">
        <v>1140</v>
      </c>
      <c r="B50" s="5">
        <v>1</v>
      </c>
      <c r="C50" t="s">
        <v>1144</v>
      </c>
      <c r="D50" t="s">
        <v>116</v>
      </c>
      <c r="E50" t="s">
        <v>745</v>
      </c>
      <c r="F50" t="s">
        <v>746</v>
      </c>
      <c r="G50" s="3" t="s">
        <v>1407</v>
      </c>
    </row>
    <row r="51" spans="1:8" x14ac:dyDescent="0.3">
      <c r="A51" t="s">
        <v>1147</v>
      </c>
      <c r="B51" s="5">
        <v>1</v>
      </c>
      <c r="C51" t="s">
        <v>1144</v>
      </c>
      <c r="D51" t="s">
        <v>116</v>
      </c>
      <c r="E51" t="s">
        <v>745</v>
      </c>
      <c r="F51" t="s">
        <v>746</v>
      </c>
      <c r="G51" s="3" t="s">
        <v>1407</v>
      </c>
    </row>
    <row r="52" spans="1:8" x14ac:dyDescent="0.3">
      <c r="A52" t="s">
        <v>1147</v>
      </c>
      <c r="B52" s="5">
        <v>2</v>
      </c>
      <c r="C52" t="s">
        <v>1408</v>
      </c>
      <c r="D52" t="s">
        <v>116</v>
      </c>
      <c r="E52" t="s">
        <v>1409</v>
      </c>
      <c r="F52" t="s">
        <v>1410</v>
      </c>
    </row>
    <row r="53" spans="1:8" ht="28.8" x14ac:dyDescent="0.3">
      <c r="A53" t="s">
        <v>1152</v>
      </c>
      <c r="B53" s="5">
        <v>1</v>
      </c>
      <c r="C53" t="s">
        <v>1411</v>
      </c>
      <c r="D53" t="s">
        <v>116</v>
      </c>
      <c r="E53" t="s">
        <v>1393</v>
      </c>
      <c r="F53" t="s">
        <v>1394</v>
      </c>
      <c r="H53" s="3" t="s">
        <v>1395</v>
      </c>
    </row>
    <row r="54" spans="1:8" x14ac:dyDescent="0.3">
      <c r="A54" t="s">
        <v>1152</v>
      </c>
      <c r="B54" s="5">
        <v>2</v>
      </c>
      <c r="C54" t="s">
        <v>1144</v>
      </c>
      <c r="D54" t="s">
        <v>116</v>
      </c>
      <c r="E54" t="s">
        <v>745</v>
      </c>
      <c r="F54" t="s">
        <v>746</v>
      </c>
      <c r="G54" s="3" t="s">
        <v>1407</v>
      </c>
    </row>
    <row r="55" spans="1:8" x14ac:dyDescent="0.3">
      <c r="A55" t="s">
        <v>1157</v>
      </c>
      <c r="B55" s="5">
        <v>1</v>
      </c>
      <c r="C55" t="s">
        <v>1412</v>
      </c>
      <c r="D55" t="s">
        <v>116</v>
      </c>
      <c r="E55" t="s">
        <v>1409</v>
      </c>
      <c r="F55" t="s">
        <v>1413</v>
      </c>
    </row>
    <row r="56" spans="1:8" x14ac:dyDescent="0.3">
      <c r="A56" t="s">
        <v>1157</v>
      </c>
      <c r="B56" s="5">
        <v>2</v>
      </c>
      <c r="C56" t="s">
        <v>1414</v>
      </c>
      <c r="D56" t="s">
        <v>116</v>
      </c>
      <c r="E56" t="s">
        <v>745</v>
      </c>
      <c r="F56" t="s">
        <v>747</v>
      </c>
      <c r="G56" s="3" t="s">
        <v>1415</v>
      </c>
    </row>
    <row r="57" spans="1:8" x14ac:dyDescent="0.3">
      <c r="A57" t="s">
        <v>1157</v>
      </c>
      <c r="B57" s="5">
        <v>3</v>
      </c>
      <c r="C57" t="s">
        <v>1416</v>
      </c>
      <c r="D57" t="s">
        <v>116</v>
      </c>
      <c r="E57" t="s">
        <v>1417</v>
      </c>
      <c r="F57" t="s">
        <v>1418</v>
      </c>
    </row>
    <row r="58" spans="1:8" x14ac:dyDescent="0.3">
      <c r="A58" t="s">
        <v>1163</v>
      </c>
      <c r="B58" s="5">
        <v>1</v>
      </c>
      <c r="C58" t="s">
        <v>1412</v>
      </c>
      <c r="D58" t="s">
        <v>116</v>
      </c>
      <c r="E58" t="s">
        <v>1409</v>
      </c>
      <c r="F58" t="s">
        <v>1413</v>
      </c>
    </row>
    <row r="59" spans="1:8" x14ac:dyDescent="0.3">
      <c r="A59" t="s">
        <v>1163</v>
      </c>
      <c r="B59" s="5">
        <v>2</v>
      </c>
      <c r="C59" t="s">
        <v>1419</v>
      </c>
      <c r="D59" t="s">
        <v>116</v>
      </c>
      <c r="E59" t="s">
        <v>745</v>
      </c>
      <c r="F59" t="s">
        <v>761</v>
      </c>
      <c r="G59" s="3" t="s">
        <v>1415</v>
      </c>
    </row>
    <row r="60" spans="1:8" x14ac:dyDescent="0.3">
      <c r="A60" t="s">
        <v>1169</v>
      </c>
      <c r="B60" s="5">
        <v>1</v>
      </c>
      <c r="C60" t="s">
        <v>1412</v>
      </c>
      <c r="D60" t="s">
        <v>116</v>
      </c>
      <c r="E60" t="s">
        <v>1409</v>
      </c>
      <c r="F60" t="s">
        <v>1413</v>
      </c>
    </row>
    <row r="61" spans="1:8" x14ac:dyDescent="0.3">
      <c r="A61" t="s">
        <v>1169</v>
      </c>
      <c r="B61" s="5">
        <v>2</v>
      </c>
      <c r="C61" t="s">
        <v>1420</v>
      </c>
      <c r="D61" t="s">
        <v>116</v>
      </c>
      <c r="E61" t="s">
        <v>745</v>
      </c>
      <c r="F61" t="s">
        <v>779</v>
      </c>
      <c r="G61" s="3" t="s">
        <v>1415</v>
      </c>
    </row>
    <row r="62" spans="1:8" x14ac:dyDescent="0.3">
      <c r="A62" t="s">
        <v>1169</v>
      </c>
      <c r="B62" s="5">
        <v>3</v>
      </c>
      <c r="C62" t="s">
        <v>1408</v>
      </c>
      <c r="D62" t="s">
        <v>116</v>
      </c>
      <c r="E62" t="s">
        <v>1409</v>
      </c>
      <c r="F62" t="s">
        <v>1410</v>
      </c>
    </row>
    <row r="63" spans="1:8" x14ac:dyDescent="0.3">
      <c r="A63" t="s">
        <v>1175</v>
      </c>
      <c r="B63" s="5">
        <v>1</v>
      </c>
      <c r="C63" t="s">
        <v>1412</v>
      </c>
      <c r="D63" t="s">
        <v>116</v>
      </c>
      <c r="E63" t="s">
        <v>1409</v>
      </c>
      <c r="F63" t="s">
        <v>1413</v>
      </c>
    </row>
    <row r="64" spans="1:8" x14ac:dyDescent="0.3">
      <c r="A64" t="s">
        <v>1175</v>
      </c>
      <c r="B64" s="5">
        <v>2</v>
      </c>
      <c r="C64" t="s">
        <v>1421</v>
      </c>
      <c r="D64" t="s">
        <v>116</v>
      </c>
      <c r="E64" t="s">
        <v>745</v>
      </c>
      <c r="F64" t="s">
        <v>819</v>
      </c>
      <c r="G64" s="3" t="s">
        <v>1415</v>
      </c>
    </row>
    <row r="65" spans="1:7" x14ac:dyDescent="0.3">
      <c r="A65" t="s">
        <v>1175</v>
      </c>
      <c r="B65" s="5">
        <v>3</v>
      </c>
      <c r="C65" t="s">
        <v>1422</v>
      </c>
      <c r="D65" t="s">
        <v>116</v>
      </c>
      <c r="E65" t="s">
        <v>1409</v>
      </c>
      <c r="F65" t="s">
        <v>115</v>
      </c>
    </row>
    <row r="66" spans="1:7" x14ac:dyDescent="0.3">
      <c r="A66" t="s">
        <v>1175</v>
      </c>
      <c r="B66" s="5">
        <v>4</v>
      </c>
      <c r="C66" t="s">
        <v>1408</v>
      </c>
      <c r="D66" t="s">
        <v>116</v>
      </c>
      <c r="E66" t="s">
        <v>1409</v>
      </c>
      <c r="F66" t="s">
        <v>1410</v>
      </c>
    </row>
    <row r="67" spans="1:7" x14ac:dyDescent="0.3">
      <c r="A67" t="s">
        <v>1181</v>
      </c>
      <c r="B67" s="5">
        <v>1</v>
      </c>
      <c r="C67" t="s">
        <v>1412</v>
      </c>
      <c r="D67" t="s">
        <v>116</v>
      </c>
      <c r="E67" t="s">
        <v>1409</v>
      </c>
      <c r="F67" t="s">
        <v>1413</v>
      </c>
    </row>
    <row r="68" spans="1:7" x14ac:dyDescent="0.3">
      <c r="A68" t="s">
        <v>1181</v>
      </c>
      <c r="B68" s="5">
        <v>2</v>
      </c>
      <c r="C68" t="s">
        <v>1421</v>
      </c>
      <c r="D68" t="s">
        <v>116</v>
      </c>
      <c r="E68" t="s">
        <v>745</v>
      </c>
      <c r="F68" t="s">
        <v>819</v>
      </c>
      <c r="G68" s="3" t="s">
        <v>1415</v>
      </c>
    </row>
    <row r="69" spans="1:7" x14ac:dyDescent="0.3">
      <c r="A69" t="s">
        <v>1181</v>
      </c>
      <c r="B69" s="5">
        <v>3</v>
      </c>
      <c r="C69" t="s">
        <v>1408</v>
      </c>
      <c r="D69" t="s">
        <v>116</v>
      </c>
      <c r="E69" t="s">
        <v>1409</v>
      </c>
      <c r="F69" t="s">
        <v>1410</v>
      </c>
    </row>
    <row r="70" spans="1:7" x14ac:dyDescent="0.3">
      <c r="A70" t="s">
        <v>1181</v>
      </c>
      <c r="B70" s="5">
        <v>4</v>
      </c>
      <c r="C70" t="s">
        <v>1423</v>
      </c>
      <c r="D70" t="s">
        <v>116</v>
      </c>
      <c r="E70" t="s">
        <v>871</v>
      </c>
      <c r="F70" t="s">
        <v>872</v>
      </c>
    </row>
    <row r="71" spans="1:7" x14ac:dyDescent="0.3">
      <c r="A71" t="s">
        <v>1181</v>
      </c>
      <c r="B71" s="5">
        <v>5</v>
      </c>
      <c r="C71" t="s">
        <v>1422</v>
      </c>
      <c r="D71" t="s">
        <v>116</v>
      </c>
      <c r="E71" t="s">
        <v>1409</v>
      </c>
      <c r="F71" t="s">
        <v>115</v>
      </c>
    </row>
    <row r="72" spans="1:7" x14ac:dyDescent="0.3">
      <c r="A72" t="s">
        <v>1186</v>
      </c>
      <c r="B72" s="5">
        <v>1</v>
      </c>
      <c r="C72" t="s">
        <v>1424</v>
      </c>
      <c r="D72" t="s">
        <v>116</v>
      </c>
      <c r="E72" t="s">
        <v>682</v>
      </c>
      <c r="F72" t="s">
        <v>680</v>
      </c>
    </row>
    <row r="73" spans="1:7" x14ac:dyDescent="0.3">
      <c r="A73" t="s">
        <v>1186</v>
      </c>
      <c r="B73" s="5">
        <v>2</v>
      </c>
      <c r="C73" t="s">
        <v>1144</v>
      </c>
      <c r="D73" t="s">
        <v>116</v>
      </c>
      <c r="E73" t="s">
        <v>745</v>
      </c>
      <c r="F73" t="s">
        <v>746</v>
      </c>
      <c r="G73" s="3" t="s">
        <v>1407</v>
      </c>
    </row>
    <row r="74" spans="1:7" x14ac:dyDescent="0.3">
      <c r="A74" t="s">
        <v>1193</v>
      </c>
      <c r="B74" s="5">
        <v>1</v>
      </c>
      <c r="C74" t="s">
        <v>1425</v>
      </c>
      <c r="D74" t="s">
        <v>116</v>
      </c>
      <c r="E74" t="s">
        <v>682</v>
      </c>
      <c r="F74" t="s">
        <v>693</v>
      </c>
    </row>
    <row r="75" spans="1:7" x14ac:dyDescent="0.3">
      <c r="A75" t="s">
        <v>1193</v>
      </c>
      <c r="B75" s="5">
        <v>2</v>
      </c>
      <c r="C75" t="s">
        <v>1426</v>
      </c>
      <c r="D75" t="s">
        <v>116</v>
      </c>
      <c r="E75" t="s">
        <v>1427</v>
      </c>
      <c r="F75" t="s">
        <v>896</v>
      </c>
      <c r="G75" s="3" t="s">
        <v>1428</v>
      </c>
    </row>
    <row r="76" spans="1:7" x14ac:dyDescent="0.3">
      <c r="A76" t="s">
        <v>1199</v>
      </c>
      <c r="B76" s="5">
        <v>1</v>
      </c>
      <c r="C76" t="s">
        <v>1429</v>
      </c>
      <c r="D76" t="s">
        <v>116</v>
      </c>
      <c r="E76" t="s">
        <v>682</v>
      </c>
      <c r="F76" t="s">
        <v>705</v>
      </c>
    </row>
    <row r="77" spans="1:7" x14ac:dyDescent="0.3">
      <c r="A77" t="s">
        <v>1199</v>
      </c>
      <c r="B77" s="5">
        <v>2</v>
      </c>
      <c r="C77" t="s">
        <v>1430</v>
      </c>
      <c r="D77" t="s">
        <v>116</v>
      </c>
      <c r="E77" t="s">
        <v>1427</v>
      </c>
      <c r="F77" t="s">
        <v>1431</v>
      </c>
      <c r="G77" s="3" t="s">
        <v>1432</v>
      </c>
    </row>
    <row r="78" spans="1:7" x14ac:dyDescent="0.3">
      <c r="A78" t="s">
        <v>1205</v>
      </c>
      <c r="B78" s="5">
        <v>1</v>
      </c>
      <c r="C78" t="s">
        <v>1433</v>
      </c>
      <c r="D78" t="s">
        <v>116</v>
      </c>
      <c r="E78" t="s">
        <v>716</v>
      </c>
      <c r="F78" t="s">
        <v>1390</v>
      </c>
    </row>
    <row r="79" spans="1:7" x14ac:dyDescent="0.3">
      <c r="A79" t="s">
        <v>1205</v>
      </c>
      <c r="B79" s="5">
        <v>2</v>
      </c>
      <c r="C79" t="s">
        <v>1144</v>
      </c>
      <c r="D79" t="s">
        <v>116</v>
      </c>
      <c r="E79" t="s">
        <v>745</v>
      </c>
      <c r="F79" t="s">
        <v>746</v>
      </c>
      <c r="G79" s="3" t="s">
        <v>1407</v>
      </c>
    </row>
    <row r="80" spans="1:7" x14ac:dyDescent="0.3">
      <c r="A80" t="s">
        <v>1211</v>
      </c>
      <c r="B80" s="5">
        <v>1</v>
      </c>
      <c r="C80" t="s">
        <v>1425</v>
      </c>
      <c r="D80" t="s">
        <v>116</v>
      </c>
      <c r="E80" t="s">
        <v>682</v>
      </c>
      <c r="F80" t="s">
        <v>693</v>
      </c>
    </row>
    <row r="81" spans="1:8" ht="28.8" x14ac:dyDescent="0.3">
      <c r="A81" t="s">
        <v>1211</v>
      </c>
      <c r="B81" s="5">
        <v>2</v>
      </c>
      <c r="C81" t="s">
        <v>1434</v>
      </c>
      <c r="D81" t="s">
        <v>116</v>
      </c>
      <c r="E81" t="s">
        <v>1393</v>
      </c>
      <c r="F81" t="s">
        <v>1394</v>
      </c>
      <c r="H81" s="3" t="s">
        <v>1395</v>
      </c>
    </row>
    <row r="82" spans="1:8" x14ac:dyDescent="0.3">
      <c r="A82" t="s">
        <v>1211</v>
      </c>
      <c r="B82" s="5">
        <v>3</v>
      </c>
      <c r="C82" t="s">
        <v>1423</v>
      </c>
      <c r="D82" t="s">
        <v>116</v>
      </c>
      <c r="E82" t="s">
        <v>871</v>
      </c>
      <c r="F82" t="s">
        <v>872</v>
      </c>
    </row>
    <row r="83" spans="1:8" x14ac:dyDescent="0.3">
      <c r="A83" t="s">
        <v>1211</v>
      </c>
      <c r="B83" s="5">
        <v>4</v>
      </c>
      <c r="C83" t="s">
        <v>1144</v>
      </c>
      <c r="D83" t="s">
        <v>116</v>
      </c>
      <c r="E83" t="s">
        <v>745</v>
      </c>
      <c r="F83" t="s">
        <v>746</v>
      </c>
      <c r="G83" s="3" t="s">
        <v>1407</v>
      </c>
    </row>
    <row r="84" spans="1:8" ht="28.8" x14ac:dyDescent="0.3">
      <c r="A84" t="s">
        <v>1217</v>
      </c>
      <c r="B84" s="5">
        <v>1</v>
      </c>
      <c r="C84" t="s">
        <v>1435</v>
      </c>
      <c r="D84" t="s">
        <v>116</v>
      </c>
      <c r="E84" t="s">
        <v>1393</v>
      </c>
      <c r="F84" t="s">
        <v>1394</v>
      </c>
      <c r="H84" s="3" t="s">
        <v>1395</v>
      </c>
    </row>
    <row r="85" spans="1:8" x14ac:dyDescent="0.3">
      <c r="A85" t="s">
        <v>1217</v>
      </c>
      <c r="B85" s="5">
        <v>2</v>
      </c>
      <c r="C85" t="s">
        <v>1426</v>
      </c>
      <c r="D85" t="s">
        <v>116</v>
      </c>
      <c r="E85" t="s">
        <v>1427</v>
      </c>
      <c r="F85" t="s">
        <v>896</v>
      </c>
      <c r="G85" s="3" t="s">
        <v>1428</v>
      </c>
    </row>
    <row r="86" spans="1:8" ht="28.8" x14ac:dyDescent="0.3">
      <c r="A86" t="s">
        <v>1223</v>
      </c>
      <c r="B86" s="5">
        <v>1</v>
      </c>
      <c r="C86" t="s">
        <v>1435</v>
      </c>
      <c r="D86" t="s">
        <v>116</v>
      </c>
      <c r="E86" t="s">
        <v>1393</v>
      </c>
      <c r="F86" t="s">
        <v>1394</v>
      </c>
      <c r="H86" s="3" t="s">
        <v>1395</v>
      </c>
    </row>
    <row r="87" spans="1:8" x14ac:dyDescent="0.3">
      <c r="A87" t="s">
        <v>1223</v>
      </c>
      <c r="B87" s="5">
        <v>2</v>
      </c>
      <c r="C87" t="s">
        <v>1430</v>
      </c>
      <c r="D87" t="s">
        <v>116</v>
      </c>
      <c r="E87" t="s">
        <v>1427</v>
      </c>
      <c r="F87" t="s">
        <v>1431</v>
      </c>
      <c r="G87" s="3" t="s">
        <v>1432</v>
      </c>
    </row>
    <row r="88" spans="1:8" ht="28.8" x14ac:dyDescent="0.3">
      <c r="A88" t="s">
        <v>1229</v>
      </c>
      <c r="B88" s="5">
        <v>1</v>
      </c>
      <c r="C88" t="s">
        <v>1435</v>
      </c>
      <c r="D88" t="s">
        <v>116</v>
      </c>
      <c r="E88" t="s">
        <v>1393</v>
      </c>
      <c r="F88" t="s">
        <v>1394</v>
      </c>
      <c r="H88" s="3" t="s">
        <v>1395</v>
      </c>
    </row>
    <row r="89" spans="1:8" x14ac:dyDescent="0.3">
      <c r="A89" t="s">
        <v>1229</v>
      </c>
      <c r="B89" s="5">
        <v>2</v>
      </c>
      <c r="C89" t="s">
        <v>1423</v>
      </c>
      <c r="D89" t="s">
        <v>116</v>
      </c>
      <c r="E89" t="s">
        <v>871</v>
      </c>
      <c r="F89" t="s">
        <v>872</v>
      </c>
    </row>
    <row r="90" spans="1:8" x14ac:dyDescent="0.3">
      <c r="A90" t="s">
        <v>1229</v>
      </c>
      <c r="B90" s="5">
        <v>3</v>
      </c>
      <c r="C90" t="s">
        <v>1144</v>
      </c>
      <c r="D90" t="s">
        <v>116</v>
      </c>
      <c r="E90" t="s">
        <v>745</v>
      </c>
      <c r="F90" t="s">
        <v>746</v>
      </c>
      <c r="G90" s="3" t="s">
        <v>1407</v>
      </c>
    </row>
    <row r="91" spans="1:8" x14ac:dyDescent="0.3">
      <c r="A91" t="s">
        <v>1235</v>
      </c>
      <c r="B91" s="5">
        <v>1</v>
      </c>
      <c r="C91" t="s">
        <v>1425</v>
      </c>
      <c r="D91" t="s">
        <v>116</v>
      </c>
      <c r="E91" t="s">
        <v>682</v>
      </c>
      <c r="F91" t="s">
        <v>693</v>
      </c>
    </row>
    <row r="92" spans="1:8" x14ac:dyDescent="0.3">
      <c r="A92" t="s">
        <v>1235</v>
      </c>
      <c r="B92" s="5">
        <v>2</v>
      </c>
      <c r="C92" t="s">
        <v>1430</v>
      </c>
      <c r="D92" t="s">
        <v>116</v>
      </c>
      <c r="E92" t="s">
        <v>1427</v>
      </c>
      <c r="F92" t="s">
        <v>1431</v>
      </c>
      <c r="G92" s="3" t="s">
        <v>1432</v>
      </c>
    </row>
    <row r="93" spans="1:8" ht="28.8" x14ac:dyDescent="0.3">
      <c r="A93" t="s">
        <v>1241</v>
      </c>
      <c r="B93" s="5">
        <v>1</v>
      </c>
      <c r="C93" t="s">
        <v>1436</v>
      </c>
      <c r="D93" t="s">
        <v>116</v>
      </c>
      <c r="E93" t="s">
        <v>1393</v>
      </c>
      <c r="F93" t="s">
        <v>1394</v>
      </c>
      <c r="H93" s="3" t="s">
        <v>1395</v>
      </c>
    </row>
    <row r="94" spans="1:8" x14ac:dyDescent="0.3">
      <c r="A94" t="s">
        <v>1241</v>
      </c>
      <c r="B94" s="5">
        <v>2</v>
      </c>
      <c r="C94" t="s">
        <v>1426</v>
      </c>
      <c r="D94" t="s">
        <v>116</v>
      </c>
      <c r="E94" t="s">
        <v>1427</v>
      </c>
      <c r="F94" t="s">
        <v>896</v>
      </c>
      <c r="G94" s="3" t="s">
        <v>1428</v>
      </c>
    </row>
    <row r="95" spans="1:8" ht="28.8" x14ac:dyDescent="0.3">
      <c r="A95" t="s">
        <v>1247</v>
      </c>
      <c r="B95" s="5">
        <v>1</v>
      </c>
      <c r="C95" t="s">
        <v>1437</v>
      </c>
      <c r="D95" t="s">
        <v>116</v>
      </c>
      <c r="E95" t="s">
        <v>1393</v>
      </c>
      <c r="F95" t="s">
        <v>1394</v>
      </c>
      <c r="H95" s="3" t="s">
        <v>1395</v>
      </c>
    </row>
    <row r="96" spans="1:8" x14ac:dyDescent="0.3">
      <c r="A96" t="s">
        <v>1247</v>
      </c>
      <c r="B96" s="5">
        <v>2</v>
      </c>
      <c r="C96" t="s">
        <v>1423</v>
      </c>
      <c r="D96" t="s">
        <v>116</v>
      </c>
      <c r="E96" t="s">
        <v>871</v>
      </c>
      <c r="F96" t="s">
        <v>872</v>
      </c>
    </row>
    <row r="97" spans="1:8" x14ac:dyDescent="0.3">
      <c r="A97" t="s">
        <v>1247</v>
      </c>
      <c r="B97" s="5">
        <v>3</v>
      </c>
      <c r="C97" t="s">
        <v>1144</v>
      </c>
      <c r="D97" t="s">
        <v>116</v>
      </c>
      <c r="E97" t="s">
        <v>745</v>
      </c>
      <c r="F97" t="s">
        <v>746</v>
      </c>
      <c r="G97" s="3" t="s">
        <v>1407</v>
      </c>
    </row>
    <row r="98" spans="1:8" ht="28.8" x14ac:dyDescent="0.3">
      <c r="A98" t="s">
        <v>1253</v>
      </c>
      <c r="B98" s="5">
        <v>1</v>
      </c>
      <c r="C98" t="s">
        <v>1438</v>
      </c>
      <c r="D98" t="s">
        <v>116</v>
      </c>
      <c r="E98" t="s">
        <v>1393</v>
      </c>
      <c r="F98" t="s">
        <v>1394</v>
      </c>
      <c r="H98" s="3" t="s">
        <v>1395</v>
      </c>
    </row>
    <row r="99" spans="1:8" x14ac:dyDescent="0.3">
      <c r="A99" t="s">
        <v>1253</v>
      </c>
      <c r="B99" s="5">
        <v>2</v>
      </c>
      <c r="C99" t="s">
        <v>1408</v>
      </c>
      <c r="D99" t="s">
        <v>116</v>
      </c>
      <c r="E99" t="s">
        <v>1409</v>
      </c>
      <c r="F99" t="s">
        <v>1410</v>
      </c>
    </row>
    <row r="100" spans="1:8" x14ac:dyDescent="0.3">
      <c r="A100" t="s">
        <v>1253</v>
      </c>
      <c r="B100" s="5">
        <v>3</v>
      </c>
      <c r="C100" t="s">
        <v>1423</v>
      </c>
      <c r="D100" t="s">
        <v>116</v>
      </c>
      <c r="E100" t="s">
        <v>871</v>
      </c>
      <c r="F100" t="s">
        <v>872</v>
      </c>
    </row>
    <row r="101" spans="1:8" x14ac:dyDescent="0.3">
      <c r="A101" t="s">
        <v>1253</v>
      </c>
      <c r="B101" s="5">
        <v>4</v>
      </c>
      <c r="C101" t="s">
        <v>1144</v>
      </c>
      <c r="D101" t="s">
        <v>116</v>
      </c>
      <c r="E101" t="s">
        <v>745</v>
      </c>
      <c r="F101" t="s">
        <v>746</v>
      </c>
      <c r="G101" s="3" t="s">
        <v>1407</v>
      </c>
    </row>
    <row r="102" spans="1:8" x14ac:dyDescent="0.3">
      <c r="A102" t="s">
        <v>1259</v>
      </c>
      <c r="B102" s="5">
        <v>1</v>
      </c>
      <c r="C102" t="s">
        <v>1391</v>
      </c>
      <c r="D102" t="s">
        <v>116</v>
      </c>
      <c r="E102" t="s">
        <v>365</v>
      </c>
      <c r="F102" t="s">
        <v>1390</v>
      </c>
    </row>
    <row r="103" spans="1:8" x14ac:dyDescent="0.3">
      <c r="A103" t="s">
        <v>1259</v>
      </c>
      <c r="B103" s="5">
        <v>2</v>
      </c>
      <c r="C103" t="s">
        <v>1423</v>
      </c>
      <c r="D103" t="s">
        <v>116</v>
      </c>
      <c r="E103" t="s">
        <v>871</v>
      </c>
      <c r="F103" t="s">
        <v>872</v>
      </c>
    </row>
    <row r="104" spans="1:8" x14ac:dyDescent="0.3">
      <c r="A104" t="s">
        <v>1259</v>
      </c>
      <c r="B104" s="5">
        <v>3</v>
      </c>
      <c r="C104" t="s">
        <v>1144</v>
      </c>
      <c r="D104" t="s">
        <v>116</v>
      </c>
      <c r="E104" t="s">
        <v>745</v>
      </c>
      <c r="F104" t="s">
        <v>746</v>
      </c>
      <c r="G104" s="3" t="s">
        <v>1407</v>
      </c>
    </row>
    <row r="105" spans="1:8" x14ac:dyDescent="0.3">
      <c r="A105" t="s">
        <v>1265</v>
      </c>
      <c r="B105" s="5">
        <v>1</v>
      </c>
      <c r="C105" t="s">
        <v>1144</v>
      </c>
      <c r="D105" t="s">
        <v>116</v>
      </c>
      <c r="E105" t="s">
        <v>745</v>
      </c>
      <c r="F105" t="s">
        <v>746</v>
      </c>
      <c r="G105" s="3" t="s">
        <v>1407</v>
      </c>
    </row>
    <row r="106" spans="1:8" x14ac:dyDescent="0.3">
      <c r="A106" t="s">
        <v>1265</v>
      </c>
      <c r="B106" s="5">
        <v>2</v>
      </c>
      <c r="C106" t="s">
        <v>1406</v>
      </c>
      <c r="D106" t="s">
        <v>116</v>
      </c>
      <c r="E106" t="s">
        <v>539</v>
      </c>
      <c r="F106" t="s">
        <v>540</v>
      </c>
    </row>
    <row r="107" spans="1:8" x14ac:dyDescent="0.3">
      <c r="A107" t="s">
        <v>1265</v>
      </c>
      <c r="B107" s="5">
        <v>3</v>
      </c>
      <c r="C107" t="s">
        <v>1408</v>
      </c>
      <c r="D107" t="s">
        <v>116</v>
      </c>
      <c r="E107" t="s">
        <v>1409</v>
      </c>
      <c r="F107" t="s">
        <v>1410</v>
      </c>
    </row>
    <row r="108" spans="1:8" x14ac:dyDescent="0.3">
      <c r="A108" t="s">
        <v>1271</v>
      </c>
      <c r="B108" s="5">
        <v>1</v>
      </c>
      <c r="C108" t="s">
        <v>1433</v>
      </c>
      <c r="D108" t="s">
        <v>116</v>
      </c>
      <c r="E108" t="s">
        <v>716</v>
      </c>
      <c r="F108" t="s">
        <v>1390</v>
      </c>
    </row>
    <row r="109" spans="1:8" x14ac:dyDescent="0.3">
      <c r="A109" t="s">
        <v>1271</v>
      </c>
      <c r="B109" s="5">
        <v>2</v>
      </c>
      <c r="C109" t="s">
        <v>1429</v>
      </c>
      <c r="D109" t="s">
        <v>116</v>
      </c>
      <c r="E109" t="s">
        <v>682</v>
      </c>
      <c r="F109" t="s">
        <v>705</v>
      </c>
    </row>
    <row r="110" spans="1:8" x14ac:dyDescent="0.3">
      <c r="A110" t="s">
        <v>1271</v>
      </c>
      <c r="B110" s="5">
        <v>3</v>
      </c>
      <c r="C110" t="s">
        <v>1425</v>
      </c>
      <c r="D110" t="s">
        <v>116</v>
      </c>
      <c r="E110" t="s">
        <v>682</v>
      </c>
      <c r="F110" t="s">
        <v>693</v>
      </c>
    </row>
    <row r="111" spans="1:8" x14ac:dyDescent="0.3">
      <c r="A111" t="s">
        <v>1271</v>
      </c>
      <c r="B111" s="5">
        <v>4</v>
      </c>
      <c r="C111" t="s">
        <v>1430</v>
      </c>
      <c r="D111" t="s">
        <v>116</v>
      </c>
      <c r="E111" t="s">
        <v>1427</v>
      </c>
      <c r="F111" t="s">
        <v>1431</v>
      </c>
      <c r="G111" s="3" t="s">
        <v>1432</v>
      </c>
    </row>
    <row r="112" spans="1:8" ht="28.8" x14ac:dyDescent="0.3">
      <c r="A112" t="s">
        <v>1277</v>
      </c>
      <c r="B112" s="5">
        <v>1</v>
      </c>
      <c r="C112" t="s">
        <v>1439</v>
      </c>
      <c r="D112" t="s">
        <v>116</v>
      </c>
      <c r="E112" t="s">
        <v>1393</v>
      </c>
      <c r="F112" t="s">
        <v>1394</v>
      </c>
      <c r="H112" s="3" t="s">
        <v>1395</v>
      </c>
    </row>
    <row r="113" spans="1:8" x14ac:dyDescent="0.3">
      <c r="A113" t="s">
        <v>1277</v>
      </c>
      <c r="B113" s="5">
        <v>2</v>
      </c>
      <c r="C113" t="s">
        <v>1423</v>
      </c>
      <c r="D113" t="s">
        <v>116</v>
      </c>
      <c r="E113" t="s">
        <v>871</v>
      </c>
      <c r="F113" t="s">
        <v>872</v>
      </c>
    </row>
    <row r="114" spans="1:8" ht="28.8" x14ac:dyDescent="0.3">
      <c r="A114" t="s">
        <v>1277</v>
      </c>
      <c r="B114" s="5">
        <v>3</v>
      </c>
      <c r="C114" t="s">
        <v>1439</v>
      </c>
      <c r="D114" t="s">
        <v>116</v>
      </c>
      <c r="E114" t="s">
        <v>1393</v>
      </c>
      <c r="F114" t="s">
        <v>1394</v>
      </c>
      <c r="H114" s="3" t="s">
        <v>1395</v>
      </c>
    </row>
    <row r="115" spans="1:8" x14ac:dyDescent="0.3">
      <c r="A115" t="s">
        <v>1277</v>
      </c>
      <c r="B115" s="5">
        <v>4</v>
      </c>
      <c r="C115" t="s">
        <v>1426</v>
      </c>
      <c r="D115" t="s">
        <v>116</v>
      </c>
      <c r="E115" t="s">
        <v>1427</v>
      </c>
      <c r="F115" t="s">
        <v>896</v>
      </c>
      <c r="G115" s="3" t="s">
        <v>1428</v>
      </c>
    </row>
    <row r="116" spans="1:8" x14ac:dyDescent="0.3">
      <c r="A116" t="s">
        <v>1283</v>
      </c>
      <c r="B116" s="5">
        <v>1</v>
      </c>
      <c r="C116" t="s">
        <v>1440</v>
      </c>
      <c r="D116" t="s">
        <v>116</v>
      </c>
      <c r="E116" t="s">
        <v>645</v>
      </c>
      <c r="F116" t="s">
        <v>114</v>
      </c>
    </row>
    <row r="117" spans="1:8" ht="28.8" x14ac:dyDescent="0.3">
      <c r="A117" t="s">
        <v>1283</v>
      </c>
      <c r="B117" s="5">
        <v>2</v>
      </c>
      <c r="C117" t="s">
        <v>1441</v>
      </c>
      <c r="D117" t="s">
        <v>116</v>
      </c>
      <c r="E117" t="s">
        <v>1393</v>
      </c>
      <c r="F117" t="s">
        <v>1394</v>
      </c>
      <c r="H117" s="3" t="s">
        <v>1395</v>
      </c>
    </row>
    <row r="118" spans="1:8" x14ac:dyDescent="0.3">
      <c r="A118" t="s">
        <v>1290</v>
      </c>
      <c r="B118" s="5">
        <v>1</v>
      </c>
      <c r="C118" t="s">
        <v>1442</v>
      </c>
      <c r="D118" t="s">
        <v>116</v>
      </c>
      <c r="E118" t="s">
        <v>645</v>
      </c>
      <c r="F118" t="s">
        <v>140</v>
      </c>
    </row>
    <row r="119" spans="1:8" x14ac:dyDescent="0.3">
      <c r="A119" t="s">
        <v>1290</v>
      </c>
      <c r="B119" s="5">
        <v>2</v>
      </c>
      <c r="C119" t="s">
        <v>1412</v>
      </c>
      <c r="D119" t="s">
        <v>116</v>
      </c>
      <c r="E119" t="s">
        <v>1409</v>
      </c>
      <c r="F119" t="s">
        <v>1413</v>
      </c>
    </row>
    <row r="120" spans="1:8" ht="28.8" x14ac:dyDescent="0.3">
      <c r="A120" t="s">
        <v>1290</v>
      </c>
      <c r="B120" s="5">
        <v>3</v>
      </c>
      <c r="C120" t="s">
        <v>1441</v>
      </c>
      <c r="D120" t="s">
        <v>116</v>
      </c>
      <c r="E120" t="s">
        <v>1393</v>
      </c>
      <c r="F120" t="s">
        <v>1394</v>
      </c>
      <c r="H120" s="3" t="s">
        <v>1395</v>
      </c>
    </row>
    <row r="121" spans="1:8" x14ac:dyDescent="0.3">
      <c r="A121" t="s">
        <v>1295</v>
      </c>
      <c r="B121" s="5">
        <v>1</v>
      </c>
      <c r="C121" t="s">
        <v>1443</v>
      </c>
      <c r="D121" t="s">
        <v>116</v>
      </c>
      <c r="E121" t="s">
        <v>596</v>
      </c>
      <c r="F121" t="s">
        <v>619</v>
      </c>
    </row>
    <row r="122" spans="1:8" x14ac:dyDescent="0.3">
      <c r="A122" t="s">
        <v>1295</v>
      </c>
      <c r="B122" s="5">
        <v>2</v>
      </c>
      <c r="C122" t="s">
        <v>1412</v>
      </c>
      <c r="D122" t="s">
        <v>116</v>
      </c>
      <c r="E122" t="s">
        <v>1409</v>
      </c>
      <c r="F122" t="s">
        <v>1413</v>
      </c>
    </row>
    <row r="123" spans="1:8" ht="28.8" x14ac:dyDescent="0.3">
      <c r="A123" t="s">
        <v>1295</v>
      </c>
      <c r="B123" s="5">
        <v>3</v>
      </c>
      <c r="C123" t="s">
        <v>1441</v>
      </c>
      <c r="D123" t="s">
        <v>116</v>
      </c>
      <c r="E123" t="s">
        <v>1393</v>
      </c>
      <c r="F123" t="s">
        <v>1394</v>
      </c>
      <c r="H123" s="3" t="s">
        <v>1395</v>
      </c>
    </row>
    <row r="124" spans="1:8" x14ac:dyDescent="0.3">
      <c r="A124" t="s">
        <v>1301</v>
      </c>
      <c r="B124" s="5">
        <v>1</v>
      </c>
      <c r="C124" t="s">
        <v>1444</v>
      </c>
      <c r="D124" t="s">
        <v>116</v>
      </c>
      <c r="E124" t="s">
        <v>661</v>
      </c>
      <c r="F124" t="s">
        <v>1390</v>
      </c>
    </row>
    <row r="125" spans="1:8" x14ac:dyDescent="0.3">
      <c r="A125" t="s">
        <v>1301</v>
      </c>
      <c r="B125" s="5">
        <v>2</v>
      </c>
      <c r="C125" t="s">
        <v>1412</v>
      </c>
      <c r="D125" t="s">
        <v>116</v>
      </c>
      <c r="E125" t="s">
        <v>1409</v>
      </c>
      <c r="F125" t="s">
        <v>1413</v>
      </c>
    </row>
    <row r="126" spans="1:8" ht="28.8" x14ac:dyDescent="0.3">
      <c r="A126" t="s">
        <v>1301</v>
      </c>
      <c r="B126" s="5">
        <v>3</v>
      </c>
      <c r="C126" t="s">
        <v>1441</v>
      </c>
      <c r="D126" t="s">
        <v>116</v>
      </c>
      <c r="E126" t="s">
        <v>1393</v>
      </c>
      <c r="F126" t="s">
        <v>1394</v>
      </c>
      <c r="H126" s="3" t="s">
        <v>1395</v>
      </c>
    </row>
    <row r="127" spans="1:8" ht="28.8" x14ac:dyDescent="0.3">
      <c r="A127" t="s">
        <v>1306</v>
      </c>
      <c r="B127" s="5">
        <v>1</v>
      </c>
      <c r="C127" t="s">
        <v>1445</v>
      </c>
      <c r="D127" t="s">
        <v>116</v>
      </c>
      <c r="E127" t="s">
        <v>1393</v>
      </c>
      <c r="F127" t="s">
        <v>1394</v>
      </c>
      <c r="H127" s="3" t="s">
        <v>1395</v>
      </c>
    </row>
    <row r="128" spans="1:8" x14ac:dyDescent="0.3">
      <c r="A128" t="s">
        <v>1306</v>
      </c>
      <c r="B128" s="5">
        <v>2</v>
      </c>
      <c r="C128" t="s">
        <v>1440</v>
      </c>
      <c r="D128" t="s">
        <v>116</v>
      </c>
      <c r="E128" t="s">
        <v>645</v>
      </c>
      <c r="F128" t="s">
        <v>114</v>
      </c>
    </row>
    <row r="129" spans="1:8" ht="28.8" x14ac:dyDescent="0.3">
      <c r="A129" t="s">
        <v>1306</v>
      </c>
      <c r="B129" s="5">
        <v>3</v>
      </c>
      <c r="C129" t="s">
        <v>1441</v>
      </c>
      <c r="D129" t="s">
        <v>116</v>
      </c>
      <c r="E129" t="s">
        <v>1393</v>
      </c>
      <c r="F129" t="s">
        <v>1394</v>
      </c>
      <c r="H129" s="3" t="s">
        <v>1395</v>
      </c>
    </row>
    <row r="130" spans="1:8" ht="28.8" x14ac:dyDescent="0.3">
      <c r="A130" t="s">
        <v>1312</v>
      </c>
      <c r="B130" s="5">
        <v>1</v>
      </c>
      <c r="C130" t="s">
        <v>1445</v>
      </c>
      <c r="D130" t="s">
        <v>116</v>
      </c>
      <c r="E130" t="s">
        <v>1393</v>
      </c>
      <c r="F130" t="s">
        <v>1394</v>
      </c>
      <c r="H130" s="3" t="s">
        <v>1395</v>
      </c>
    </row>
    <row r="131" spans="1:8" x14ac:dyDescent="0.3">
      <c r="A131" t="s">
        <v>1312</v>
      </c>
      <c r="B131" s="5">
        <v>2</v>
      </c>
      <c r="C131" t="s">
        <v>1442</v>
      </c>
      <c r="D131" t="s">
        <v>116</v>
      </c>
      <c r="E131" t="s">
        <v>645</v>
      </c>
      <c r="F131" t="s">
        <v>140</v>
      </c>
    </row>
    <row r="132" spans="1:8" x14ac:dyDescent="0.3">
      <c r="A132" t="s">
        <v>1312</v>
      </c>
      <c r="B132" s="5">
        <v>3</v>
      </c>
      <c r="C132" t="s">
        <v>1412</v>
      </c>
      <c r="D132" t="s">
        <v>116</v>
      </c>
      <c r="E132" t="s">
        <v>1409</v>
      </c>
      <c r="F132" t="s">
        <v>1413</v>
      </c>
    </row>
    <row r="133" spans="1:8" ht="28.8" x14ac:dyDescent="0.3">
      <c r="A133" t="s">
        <v>1312</v>
      </c>
      <c r="B133" s="5">
        <v>4</v>
      </c>
      <c r="C133" t="s">
        <v>1441</v>
      </c>
      <c r="D133" t="s">
        <v>116</v>
      </c>
      <c r="E133" t="s">
        <v>1393</v>
      </c>
      <c r="F133" t="s">
        <v>1394</v>
      </c>
      <c r="H133" s="3" t="s">
        <v>1395</v>
      </c>
    </row>
    <row r="134" spans="1:8" x14ac:dyDescent="0.3">
      <c r="A134" t="s">
        <v>1317</v>
      </c>
      <c r="B134" s="5">
        <v>1</v>
      </c>
      <c r="C134" t="s">
        <v>1144</v>
      </c>
      <c r="D134" t="s">
        <v>116</v>
      </c>
      <c r="E134" t="s">
        <v>745</v>
      </c>
      <c r="F134" t="s">
        <v>746</v>
      </c>
      <c r="G134" s="3" t="s">
        <v>1407</v>
      </c>
    </row>
    <row r="135" spans="1:8" x14ac:dyDescent="0.3">
      <c r="A135" t="s">
        <v>1317</v>
      </c>
      <c r="B135" s="5">
        <v>2</v>
      </c>
      <c r="C135" t="s">
        <v>1408</v>
      </c>
      <c r="D135" t="s">
        <v>116</v>
      </c>
      <c r="E135" t="s">
        <v>1409</v>
      </c>
      <c r="F135" t="s">
        <v>1410</v>
      </c>
    </row>
    <row r="136" spans="1:8" x14ac:dyDescent="0.3">
      <c r="A136" t="s">
        <v>1322</v>
      </c>
      <c r="B136" s="5">
        <v>1</v>
      </c>
      <c r="C136" t="s">
        <v>1412</v>
      </c>
      <c r="D136" t="s">
        <v>116</v>
      </c>
      <c r="E136" t="s">
        <v>1409</v>
      </c>
      <c r="F136" t="s">
        <v>1413</v>
      </c>
    </row>
    <row r="137" spans="1:8" x14ac:dyDescent="0.3">
      <c r="A137" t="s">
        <v>1322</v>
      </c>
      <c r="B137" s="5">
        <v>2</v>
      </c>
      <c r="C137" t="s">
        <v>1419</v>
      </c>
      <c r="D137" t="s">
        <v>116</v>
      </c>
      <c r="E137" t="s">
        <v>745</v>
      </c>
      <c r="F137" t="s">
        <v>761</v>
      </c>
      <c r="G137" s="3" t="s">
        <v>1415</v>
      </c>
    </row>
    <row r="138" spans="1:8" x14ac:dyDescent="0.3">
      <c r="A138" t="s">
        <v>1327</v>
      </c>
      <c r="B138" s="5">
        <v>1</v>
      </c>
      <c r="C138" t="s">
        <v>1412</v>
      </c>
      <c r="D138" t="s">
        <v>116</v>
      </c>
      <c r="E138" t="s">
        <v>1409</v>
      </c>
      <c r="F138" t="s">
        <v>1413</v>
      </c>
    </row>
    <row r="139" spans="1:8" x14ac:dyDescent="0.3">
      <c r="A139" t="s">
        <v>1327</v>
      </c>
      <c r="B139" s="5">
        <v>2</v>
      </c>
      <c r="C139" t="s">
        <v>1420</v>
      </c>
      <c r="D139" t="s">
        <v>116</v>
      </c>
      <c r="E139" t="s">
        <v>745</v>
      </c>
      <c r="F139" t="s">
        <v>779</v>
      </c>
      <c r="G139" s="3" t="s">
        <v>1415</v>
      </c>
    </row>
    <row r="140" spans="1:8" x14ac:dyDescent="0.3">
      <c r="A140" t="s">
        <v>1327</v>
      </c>
      <c r="B140" s="5">
        <v>3</v>
      </c>
      <c r="C140" t="s">
        <v>1408</v>
      </c>
      <c r="D140" t="s">
        <v>116</v>
      </c>
      <c r="E140" t="s">
        <v>1409</v>
      </c>
      <c r="F140" t="s">
        <v>1410</v>
      </c>
    </row>
    <row r="141" spans="1:8" ht="28.8" x14ac:dyDescent="0.3">
      <c r="A141" t="s">
        <v>1331</v>
      </c>
      <c r="B141" s="5">
        <v>1</v>
      </c>
      <c r="C141" t="s">
        <v>1446</v>
      </c>
      <c r="D141" t="s">
        <v>116</v>
      </c>
      <c r="E141" t="s">
        <v>1393</v>
      </c>
      <c r="F141" t="s">
        <v>1394</v>
      </c>
      <c r="H141" s="3" t="s">
        <v>1395</v>
      </c>
    </row>
    <row r="142" spans="1:8" ht="28.8" x14ac:dyDescent="0.3">
      <c r="A142" t="s">
        <v>1331</v>
      </c>
      <c r="B142" s="5">
        <v>2</v>
      </c>
      <c r="C142" t="s">
        <v>1447</v>
      </c>
      <c r="D142" t="s">
        <v>116</v>
      </c>
      <c r="E142" t="s">
        <v>1393</v>
      </c>
      <c r="F142" t="s">
        <v>1394</v>
      </c>
      <c r="H142" s="3" t="s">
        <v>1395</v>
      </c>
    </row>
    <row r="143" spans="1:8" ht="28.8" x14ac:dyDescent="0.3">
      <c r="A143" t="s">
        <v>1331</v>
      </c>
      <c r="B143" s="5">
        <v>3</v>
      </c>
      <c r="C143" t="s">
        <v>1448</v>
      </c>
      <c r="D143" t="s">
        <v>116</v>
      </c>
      <c r="E143" t="s">
        <v>1393</v>
      </c>
      <c r="F143" t="s">
        <v>1394</v>
      </c>
      <c r="H143" s="3" t="s">
        <v>1395</v>
      </c>
    </row>
    <row r="144" spans="1:8" ht="28.8" x14ac:dyDescent="0.3">
      <c r="A144" t="s">
        <v>1331</v>
      </c>
      <c r="B144" s="5">
        <v>4</v>
      </c>
      <c r="C144" t="s">
        <v>924</v>
      </c>
      <c r="D144" t="s">
        <v>116</v>
      </c>
      <c r="E144" t="s">
        <v>1393</v>
      </c>
      <c r="F144" t="s">
        <v>1394</v>
      </c>
      <c r="H144" s="3" t="s">
        <v>1395</v>
      </c>
    </row>
    <row r="145" spans="1:8" x14ac:dyDescent="0.3">
      <c r="A145" t="s">
        <v>1336</v>
      </c>
      <c r="B145" s="5">
        <v>1</v>
      </c>
      <c r="C145" t="s">
        <v>1449</v>
      </c>
      <c r="D145" t="s">
        <v>116</v>
      </c>
      <c r="E145" t="s">
        <v>1450</v>
      </c>
      <c r="F145" t="s">
        <v>1390</v>
      </c>
    </row>
    <row r="146" spans="1:8" x14ac:dyDescent="0.3">
      <c r="A146" t="s">
        <v>1336</v>
      </c>
      <c r="B146" s="5">
        <v>2</v>
      </c>
      <c r="C146" t="s">
        <v>1412</v>
      </c>
      <c r="D146" t="s">
        <v>116</v>
      </c>
      <c r="E146" t="s">
        <v>1409</v>
      </c>
      <c r="F146" t="s">
        <v>1413</v>
      </c>
    </row>
    <row r="147" spans="1:8" x14ac:dyDescent="0.3">
      <c r="A147" t="s">
        <v>1336</v>
      </c>
      <c r="B147" s="5">
        <v>3</v>
      </c>
      <c r="C147" t="s">
        <v>1144</v>
      </c>
      <c r="D147" t="s">
        <v>116</v>
      </c>
      <c r="E147" t="s">
        <v>745</v>
      </c>
      <c r="F147" t="s">
        <v>746</v>
      </c>
      <c r="G147" s="3" t="s">
        <v>1407</v>
      </c>
    </row>
    <row r="148" spans="1:8" ht="28.8" x14ac:dyDescent="0.3">
      <c r="A148" t="s">
        <v>1336</v>
      </c>
      <c r="B148" s="5">
        <v>4</v>
      </c>
      <c r="C148" t="s">
        <v>1451</v>
      </c>
      <c r="D148" t="s">
        <v>116</v>
      </c>
      <c r="E148" t="s">
        <v>1393</v>
      </c>
      <c r="F148" t="s">
        <v>1394</v>
      </c>
      <c r="H148" s="3" t="s">
        <v>1395</v>
      </c>
    </row>
    <row r="149" spans="1:8" x14ac:dyDescent="0.3">
      <c r="A149" t="s">
        <v>1336</v>
      </c>
      <c r="B149" s="5">
        <v>5</v>
      </c>
      <c r="C149" t="s">
        <v>1452</v>
      </c>
      <c r="D149" t="s">
        <v>116</v>
      </c>
      <c r="E149" t="s">
        <v>879</v>
      </c>
      <c r="F149" t="s">
        <v>272</v>
      </c>
    </row>
    <row r="150" spans="1:8" x14ac:dyDescent="0.3">
      <c r="A150" t="s">
        <v>1342</v>
      </c>
      <c r="B150" s="5">
        <v>1</v>
      </c>
      <c r="C150" t="s">
        <v>1453</v>
      </c>
      <c r="D150" t="s">
        <v>116</v>
      </c>
      <c r="E150" t="s">
        <v>670</v>
      </c>
      <c r="F150" t="s">
        <v>1390</v>
      </c>
    </row>
    <row r="151" spans="1:8" x14ac:dyDescent="0.3">
      <c r="A151" t="s">
        <v>1342</v>
      </c>
      <c r="B151" s="5">
        <v>2</v>
      </c>
      <c r="C151" t="s">
        <v>1449</v>
      </c>
      <c r="D151" t="s">
        <v>116</v>
      </c>
      <c r="E151" t="s">
        <v>1450</v>
      </c>
      <c r="F151" t="s">
        <v>1390</v>
      </c>
    </row>
    <row r="152" spans="1:8" x14ac:dyDescent="0.3">
      <c r="A152" t="s">
        <v>1342</v>
      </c>
      <c r="B152" s="5">
        <v>3</v>
      </c>
      <c r="C152" t="s">
        <v>1412</v>
      </c>
      <c r="D152" t="s">
        <v>116</v>
      </c>
      <c r="E152" t="s">
        <v>1409</v>
      </c>
      <c r="F152" t="s">
        <v>1413</v>
      </c>
    </row>
    <row r="153" spans="1:8" x14ac:dyDescent="0.3">
      <c r="A153" t="s">
        <v>1342</v>
      </c>
      <c r="B153" s="5">
        <v>4</v>
      </c>
      <c r="C153" t="s">
        <v>1144</v>
      </c>
      <c r="D153" t="s">
        <v>116</v>
      </c>
      <c r="E153" t="s">
        <v>745</v>
      </c>
      <c r="F153" t="s">
        <v>746</v>
      </c>
      <c r="G153" s="3" t="s">
        <v>1407</v>
      </c>
    </row>
    <row r="154" spans="1:8" ht="28.8" x14ac:dyDescent="0.3">
      <c r="A154" t="s">
        <v>1342</v>
      </c>
      <c r="B154" s="5">
        <v>5</v>
      </c>
      <c r="C154" t="s">
        <v>1451</v>
      </c>
      <c r="D154" t="s">
        <v>116</v>
      </c>
      <c r="E154" t="s">
        <v>1393</v>
      </c>
      <c r="F154" t="s">
        <v>1394</v>
      </c>
      <c r="H154" s="3" t="s">
        <v>1395</v>
      </c>
    </row>
    <row r="155" spans="1:8" x14ac:dyDescent="0.3">
      <c r="A155" t="s">
        <v>1342</v>
      </c>
      <c r="B155" s="5">
        <v>6</v>
      </c>
      <c r="C155" t="s">
        <v>1452</v>
      </c>
      <c r="D155" t="s">
        <v>116</v>
      </c>
      <c r="E155" t="s">
        <v>879</v>
      </c>
      <c r="F155" t="s">
        <v>272</v>
      </c>
    </row>
    <row r="156" spans="1:8" ht="28.8" x14ac:dyDescent="0.3">
      <c r="A156" t="s">
        <v>1347</v>
      </c>
      <c r="B156" s="5">
        <v>1</v>
      </c>
      <c r="C156" t="s">
        <v>1454</v>
      </c>
      <c r="D156" t="s">
        <v>116</v>
      </c>
      <c r="E156" t="s">
        <v>1393</v>
      </c>
      <c r="F156" t="s">
        <v>1394</v>
      </c>
      <c r="H156" s="3" t="s">
        <v>1395</v>
      </c>
    </row>
    <row r="157" spans="1:8" ht="28.8" x14ac:dyDescent="0.3">
      <c r="A157" t="s">
        <v>1347</v>
      </c>
      <c r="B157" s="5">
        <v>2</v>
      </c>
      <c r="C157" t="s">
        <v>1455</v>
      </c>
      <c r="D157" t="s">
        <v>116</v>
      </c>
      <c r="E157" t="s">
        <v>1393</v>
      </c>
      <c r="F157" t="s">
        <v>1394</v>
      </c>
      <c r="H157" s="3" t="s">
        <v>1395</v>
      </c>
    </row>
    <row r="158" spans="1:8" x14ac:dyDescent="0.3">
      <c r="A158" t="s">
        <v>1347</v>
      </c>
      <c r="B158" s="5">
        <v>3</v>
      </c>
      <c r="C158" t="s">
        <v>1456</v>
      </c>
      <c r="D158" t="s">
        <v>116</v>
      </c>
      <c r="E158" t="s">
        <v>879</v>
      </c>
      <c r="F158" t="s">
        <v>887</v>
      </c>
    </row>
    <row r="159" spans="1:8" ht="28.8" x14ac:dyDescent="0.3">
      <c r="A159" t="s">
        <v>1353</v>
      </c>
      <c r="B159" s="5">
        <v>1</v>
      </c>
      <c r="C159" t="s">
        <v>1357</v>
      </c>
      <c r="D159" t="s">
        <v>116</v>
      </c>
      <c r="E159" t="s">
        <v>1393</v>
      </c>
      <c r="F159" t="s">
        <v>1394</v>
      </c>
      <c r="H159" s="3" t="s">
        <v>1395</v>
      </c>
    </row>
    <row r="160" spans="1:8" ht="28.8" x14ac:dyDescent="0.3">
      <c r="A160" t="s">
        <v>1359</v>
      </c>
      <c r="B160" s="5">
        <v>1</v>
      </c>
      <c r="C160" t="s">
        <v>1357</v>
      </c>
      <c r="D160" t="s">
        <v>116</v>
      </c>
      <c r="E160" t="s">
        <v>1393</v>
      </c>
      <c r="F160" t="s">
        <v>1394</v>
      </c>
      <c r="H160" s="3" t="s">
        <v>1395</v>
      </c>
    </row>
    <row r="161" spans="1:8" x14ac:dyDescent="0.3">
      <c r="A161" t="s">
        <v>1359</v>
      </c>
      <c r="B161" s="5">
        <v>2</v>
      </c>
      <c r="C161" t="s">
        <v>1457</v>
      </c>
      <c r="D161" t="s">
        <v>116</v>
      </c>
      <c r="E161" t="s">
        <v>596</v>
      </c>
      <c r="F161" t="s">
        <v>597</v>
      </c>
    </row>
    <row r="162" spans="1:8" ht="28.8" x14ac:dyDescent="0.3">
      <c r="A162" t="s">
        <v>1359</v>
      </c>
      <c r="B162" s="5">
        <v>3</v>
      </c>
      <c r="C162" t="s">
        <v>1357</v>
      </c>
      <c r="D162" t="s">
        <v>116</v>
      </c>
      <c r="E162" t="s">
        <v>1393</v>
      </c>
      <c r="F162" t="s">
        <v>1394</v>
      </c>
      <c r="H162" s="3" t="s">
        <v>1395</v>
      </c>
    </row>
    <row r="163" spans="1:8" ht="28.8" x14ac:dyDescent="0.3">
      <c r="A163" t="s">
        <v>1365</v>
      </c>
      <c r="B163" s="5">
        <v>1</v>
      </c>
      <c r="C163" t="s">
        <v>1357</v>
      </c>
      <c r="D163" t="s">
        <v>116</v>
      </c>
      <c r="E163" t="s">
        <v>1393</v>
      </c>
      <c r="F163" t="s">
        <v>1394</v>
      </c>
      <c r="H163" s="3" t="s">
        <v>1395</v>
      </c>
    </row>
    <row r="164" spans="1:8" ht="28.8" x14ac:dyDescent="0.3">
      <c r="A164" t="s">
        <v>1365</v>
      </c>
      <c r="B164" s="5">
        <v>2</v>
      </c>
      <c r="C164" t="s">
        <v>1458</v>
      </c>
      <c r="D164" t="s">
        <v>116</v>
      </c>
      <c r="E164" t="s">
        <v>1393</v>
      </c>
      <c r="F164" t="s">
        <v>1394</v>
      </c>
      <c r="H164" s="3" t="s">
        <v>1395</v>
      </c>
    </row>
    <row r="165" spans="1:8" ht="28.8" x14ac:dyDescent="0.3">
      <c r="A165" t="s">
        <v>1371</v>
      </c>
      <c r="B165" s="5">
        <v>1</v>
      </c>
      <c r="C165" t="s">
        <v>1458</v>
      </c>
      <c r="D165" t="s">
        <v>116</v>
      </c>
      <c r="E165" t="s">
        <v>1393</v>
      </c>
      <c r="F165" t="s">
        <v>1394</v>
      </c>
      <c r="H165" s="3" t="s">
        <v>1395</v>
      </c>
    </row>
    <row r="166" spans="1:8" x14ac:dyDescent="0.3">
      <c r="A166" t="s">
        <v>1371</v>
      </c>
      <c r="B166" s="5">
        <v>2</v>
      </c>
      <c r="C166" t="s">
        <v>1459</v>
      </c>
      <c r="D166" t="s">
        <v>116</v>
      </c>
      <c r="E166" t="s">
        <v>879</v>
      </c>
      <c r="F166" t="s">
        <v>880</v>
      </c>
    </row>
    <row r="167" spans="1:8" ht="28.8" x14ac:dyDescent="0.3">
      <c r="A167" t="s">
        <v>1371</v>
      </c>
      <c r="B167" s="5">
        <v>3</v>
      </c>
      <c r="C167" t="s">
        <v>1357</v>
      </c>
      <c r="D167" t="s">
        <v>116</v>
      </c>
      <c r="E167" t="s">
        <v>1393</v>
      </c>
      <c r="F167" t="s">
        <v>1394</v>
      </c>
      <c r="H167" s="3" t="s">
        <v>1395</v>
      </c>
    </row>
    <row r="168" spans="1:8" ht="28.8" x14ac:dyDescent="0.3">
      <c r="A168" t="s">
        <v>1376</v>
      </c>
      <c r="B168" s="5">
        <v>1</v>
      </c>
      <c r="C168" t="s">
        <v>1357</v>
      </c>
      <c r="D168" t="s">
        <v>116</v>
      </c>
      <c r="E168" t="s">
        <v>1393</v>
      </c>
      <c r="F168" t="s">
        <v>1394</v>
      </c>
      <c r="H168" s="3" t="s">
        <v>1395</v>
      </c>
    </row>
    <row r="169" spans="1:8" x14ac:dyDescent="0.3">
      <c r="A169" t="s">
        <v>1376</v>
      </c>
      <c r="B169" s="5">
        <v>2</v>
      </c>
      <c r="C169" t="s">
        <v>1457</v>
      </c>
      <c r="D169" t="s">
        <v>116</v>
      </c>
      <c r="E169" t="s">
        <v>596</v>
      </c>
      <c r="F169" t="s">
        <v>597</v>
      </c>
    </row>
    <row r="170" spans="1:8" ht="28.8" x14ac:dyDescent="0.3">
      <c r="A170" t="s">
        <v>1376</v>
      </c>
      <c r="B170" s="5">
        <v>3</v>
      </c>
      <c r="C170" t="s">
        <v>1357</v>
      </c>
      <c r="D170" t="s">
        <v>116</v>
      </c>
      <c r="E170" t="s">
        <v>1393</v>
      </c>
      <c r="F170" t="s">
        <v>1394</v>
      </c>
      <c r="H170" s="3" t="s">
        <v>1395</v>
      </c>
    </row>
    <row r="171" spans="1:8" ht="28.8" x14ac:dyDescent="0.3">
      <c r="A171" t="s">
        <v>1376</v>
      </c>
      <c r="B171" s="5">
        <v>4</v>
      </c>
      <c r="C171" t="s">
        <v>1458</v>
      </c>
      <c r="D171" t="s">
        <v>116</v>
      </c>
      <c r="E171" t="s">
        <v>1393</v>
      </c>
      <c r="F171" t="s">
        <v>1394</v>
      </c>
      <c r="H171" s="3" t="s">
        <v>1395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06336-F03E-45ED-90DA-ED850F01029E}">
  <sheetPr>
    <tabColor rgb="FFD97706"/>
  </sheetPr>
  <dimension ref="A1:Y73"/>
  <sheetViews>
    <sheetView tabSelected="1" topLeftCell="I1" workbookViewId="0">
      <pane ySplit="1" topLeftCell="A2" activePane="bottomLeft" state="frozen"/>
      <selection pane="bottomLeft" activeCell="O1" sqref="O1:Y8"/>
    </sheetView>
  </sheetViews>
  <sheetFormatPr defaultRowHeight="14.4" x14ac:dyDescent="0.3"/>
  <cols>
    <col min="1" max="1" width="14" bestFit="1" customWidth="1"/>
    <col min="2" max="2" width="10.109375" bestFit="1" customWidth="1"/>
    <col min="3" max="3" width="11.88671875" bestFit="1" customWidth="1"/>
    <col min="4" max="6" width="42.5546875" style="3" customWidth="1"/>
    <col min="7" max="8" width="46.33203125" style="3" customWidth="1"/>
    <col min="9" max="9" width="17.88671875" bestFit="1" customWidth="1"/>
    <col min="10" max="10" width="10.77734375" bestFit="1" customWidth="1"/>
    <col min="11" max="11" width="8.44140625" bestFit="1" customWidth="1"/>
    <col min="12" max="12" width="13.6640625" bestFit="1" customWidth="1"/>
    <col min="13" max="13" width="13.77734375" bestFit="1" customWidth="1"/>
    <col min="15" max="15" width="9.6640625" customWidth="1"/>
    <col min="25" max="25" width="15.21875" customWidth="1"/>
  </cols>
  <sheetData>
    <row r="1" spans="1:25" x14ac:dyDescent="0.3">
      <c r="A1" t="s">
        <v>1460</v>
      </c>
      <c r="B1" t="s">
        <v>27</v>
      </c>
      <c r="C1" t="s">
        <v>1041</v>
      </c>
      <c r="D1" s="3" t="s">
        <v>1461</v>
      </c>
      <c r="E1" s="3" t="s">
        <v>1462</v>
      </c>
      <c r="F1" s="3" t="s">
        <v>1463</v>
      </c>
      <c r="G1" s="3" t="s">
        <v>1464</v>
      </c>
      <c r="H1" s="3" t="s">
        <v>1465</v>
      </c>
      <c r="I1" t="s">
        <v>1466</v>
      </c>
      <c r="J1" t="s">
        <v>1467</v>
      </c>
      <c r="K1" t="s">
        <v>109</v>
      </c>
      <c r="L1" t="s">
        <v>1468</v>
      </c>
      <c r="M1" t="s">
        <v>1469</v>
      </c>
      <c r="O1" t="s">
        <v>1830</v>
      </c>
      <c r="P1" t="s">
        <v>1831</v>
      </c>
      <c r="Q1" t="s">
        <v>1832</v>
      </c>
      <c r="R1" t="s">
        <v>1833</v>
      </c>
      <c r="S1" t="s">
        <v>1834</v>
      </c>
      <c r="T1" t="s">
        <v>1835</v>
      </c>
      <c r="U1" t="s">
        <v>1836</v>
      </c>
      <c r="V1" t="s">
        <v>1837</v>
      </c>
      <c r="W1" t="s">
        <v>1838</v>
      </c>
      <c r="X1" t="s">
        <v>1839</v>
      </c>
      <c r="Y1" t="s">
        <v>1840</v>
      </c>
    </row>
    <row r="2" spans="1:25" ht="28.8" x14ac:dyDescent="0.3">
      <c r="A2" t="s">
        <v>1470</v>
      </c>
      <c r="B2" s="5">
        <v>1</v>
      </c>
      <c r="C2" t="s">
        <v>1051</v>
      </c>
      <c r="D2" s="3" t="s">
        <v>126</v>
      </c>
      <c r="E2" s="3" t="s">
        <v>1057</v>
      </c>
      <c r="F2" s="3" t="s">
        <v>1057</v>
      </c>
      <c r="H2" s="3" t="s">
        <v>1471</v>
      </c>
      <c r="I2" t="s">
        <v>113</v>
      </c>
      <c r="J2" t="s">
        <v>1472</v>
      </c>
      <c r="K2" t="s">
        <v>116</v>
      </c>
      <c r="L2" t="s">
        <v>1473</v>
      </c>
      <c r="M2" s="5">
        <f t="shared" ref="M2:M65" si="0">IF(F2="",0,LEN(F2)-LEN(SUBSTITUTE(F2,"|",""))+1)</f>
        <v>1</v>
      </c>
      <c r="O2">
        <v>1</v>
      </c>
      <c r="P2" t="s">
        <v>1841</v>
      </c>
      <c r="Q2" t="s">
        <v>161</v>
      </c>
      <c r="R2" t="s">
        <v>1842</v>
      </c>
      <c r="S2" t="s">
        <v>1843</v>
      </c>
      <c r="T2" t="s">
        <v>1844</v>
      </c>
      <c r="U2" t="s">
        <v>1845</v>
      </c>
      <c r="V2" t="s">
        <v>168</v>
      </c>
      <c r="W2" t="s">
        <v>1846</v>
      </c>
      <c r="Y2" t="s">
        <v>1847</v>
      </c>
    </row>
    <row r="3" spans="1:25" ht="28.8" x14ac:dyDescent="0.3">
      <c r="A3" t="s">
        <v>1474</v>
      </c>
      <c r="B3" s="5">
        <v>1</v>
      </c>
      <c r="C3" t="s">
        <v>1058</v>
      </c>
      <c r="D3" s="3" t="s">
        <v>1475</v>
      </c>
      <c r="E3" s="3" t="s">
        <v>1061</v>
      </c>
      <c r="F3" s="3" t="s">
        <v>1061</v>
      </c>
      <c r="H3" s="3" t="s">
        <v>1476</v>
      </c>
      <c r="I3" t="s">
        <v>223</v>
      </c>
      <c r="J3" t="s">
        <v>1472</v>
      </c>
      <c r="K3" t="s">
        <v>116</v>
      </c>
      <c r="L3" t="s">
        <v>1473</v>
      </c>
      <c r="M3" s="5">
        <f t="shared" si="0"/>
        <v>1</v>
      </c>
      <c r="O3">
        <v>2</v>
      </c>
      <c r="P3" t="s">
        <v>1848</v>
      </c>
      <c r="Q3" t="s">
        <v>567</v>
      </c>
      <c r="R3" t="s">
        <v>161</v>
      </c>
      <c r="S3" t="s">
        <v>1849</v>
      </c>
      <c r="T3" t="s">
        <v>1844</v>
      </c>
      <c r="U3" t="s">
        <v>168</v>
      </c>
      <c r="V3" t="s">
        <v>1850</v>
      </c>
      <c r="Y3" t="s">
        <v>1851</v>
      </c>
    </row>
    <row r="4" spans="1:25" ht="28.8" x14ac:dyDescent="0.3">
      <c r="A4" t="s">
        <v>1477</v>
      </c>
      <c r="B4" s="5">
        <v>1</v>
      </c>
      <c r="C4" t="s">
        <v>1062</v>
      </c>
      <c r="D4" s="3" t="s">
        <v>1478</v>
      </c>
      <c r="E4" s="3" t="s">
        <v>1479</v>
      </c>
      <c r="F4" s="3" t="s">
        <v>1480</v>
      </c>
      <c r="H4" s="3" t="s">
        <v>1481</v>
      </c>
      <c r="I4" t="s">
        <v>1482</v>
      </c>
      <c r="J4" t="s">
        <v>1472</v>
      </c>
      <c r="K4" t="s">
        <v>116</v>
      </c>
      <c r="L4" t="s">
        <v>1473</v>
      </c>
      <c r="M4" s="5">
        <f t="shared" si="0"/>
        <v>2</v>
      </c>
      <c r="O4">
        <v>3</v>
      </c>
      <c r="P4" t="s">
        <v>1852</v>
      </c>
      <c r="Q4" t="s">
        <v>1853</v>
      </c>
      <c r="R4" t="s">
        <v>1854</v>
      </c>
      <c r="S4" t="s">
        <v>138</v>
      </c>
      <c r="T4" t="s">
        <v>1844</v>
      </c>
      <c r="U4" t="s">
        <v>185</v>
      </c>
      <c r="V4" t="s">
        <v>1855</v>
      </c>
      <c r="Y4" t="s">
        <v>1856</v>
      </c>
    </row>
    <row r="5" spans="1:25" ht="28.8" x14ac:dyDescent="0.3">
      <c r="A5" t="s">
        <v>1483</v>
      </c>
      <c r="B5" s="5">
        <v>1</v>
      </c>
      <c r="C5" t="s">
        <v>1062</v>
      </c>
      <c r="D5" s="3" t="s">
        <v>1484</v>
      </c>
      <c r="E5" s="3" t="s">
        <v>1485</v>
      </c>
      <c r="F5" s="3" t="s">
        <v>1486</v>
      </c>
      <c r="H5" s="3" t="s">
        <v>1481</v>
      </c>
      <c r="I5" t="s">
        <v>1482</v>
      </c>
      <c r="J5" t="s">
        <v>1472</v>
      </c>
      <c r="K5" t="s">
        <v>116</v>
      </c>
      <c r="L5" t="s">
        <v>1473</v>
      </c>
      <c r="M5" s="5">
        <f t="shared" si="0"/>
        <v>2</v>
      </c>
      <c r="O5">
        <v>4</v>
      </c>
      <c r="P5" t="s">
        <v>1857</v>
      </c>
      <c r="Q5" t="s">
        <v>168</v>
      </c>
      <c r="R5" t="s">
        <v>1858</v>
      </c>
      <c r="S5" t="s">
        <v>1844</v>
      </c>
      <c r="T5" t="s">
        <v>168</v>
      </c>
      <c r="U5" t="s">
        <v>1859</v>
      </c>
      <c r="Y5" t="s">
        <v>1860</v>
      </c>
    </row>
    <row r="6" spans="1:25" ht="28.8" x14ac:dyDescent="0.3">
      <c r="A6" t="s">
        <v>1487</v>
      </c>
      <c r="B6" s="5">
        <v>1</v>
      </c>
      <c r="C6" t="s">
        <v>1062</v>
      </c>
      <c r="D6" s="3" t="s">
        <v>1488</v>
      </c>
      <c r="E6" s="3" t="s">
        <v>1489</v>
      </c>
      <c r="F6" s="3" t="s">
        <v>1490</v>
      </c>
      <c r="H6" s="3" t="s">
        <v>1481</v>
      </c>
      <c r="I6" t="s">
        <v>1491</v>
      </c>
      <c r="J6" t="s">
        <v>1472</v>
      </c>
      <c r="K6" t="s">
        <v>116</v>
      </c>
      <c r="L6" t="s">
        <v>1473</v>
      </c>
      <c r="M6" s="5">
        <f t="shared" si="0"/>
        <v>2</v>
      </c>
      <c r="O6">
        <v>5</v>
      </c>
      <c r="P6" t="s">
        <v>1861</v>
      </c>
      <c r="Q6" t="s">
        <v>594</v>
      </c>
      <c r="R6" t="s">
        <v>1862</v>
      </c>
      <c r="S6" t="s">
        <v>1863</v>
      </c>
      <c r="T6" t="s">
        <v>1864</v>
      </c>
      <c r="U6" t="s">
        <v>1844</v>
      </c>
      <c r="V6" t="s">
        <v>168</v>
      </c>
      <c r="W6" t="s">
        <v>1865</v>
      </c>
      <c r="Y6" t="s">
        <v>1866</v>
      </c>
    </row>
    <row r="7" spans="1:25" ht="28.8" x14ac:dyDescent="0.3">
      <c r="A7" t="s">
        <v>1492</v>
      </c>
      <c r="B7" s="5">
        <v>1</v>
      </c>
      <c r="C7" t="s">
        <v>1062</v>
      </c>
      <c r="D7" s="3" t="s">
        <v>1493</v>
      </c>
      <c r="E7" s="3" t="s">
        <v>1494</v>
      </c>
      <c r="F7" s="3" t="s">
        <v>1495</v>
      </c>
      <c r="H7" s="3" t="s">
        <v>1481</v>
      </c>
      <c r="I7" t="s">
        <v>174</v>
      </c>
      <c r="J7" t="s">
        <v>1472</v>
      </c>
      <c r="K7" t="s">
        <v>116</v>
      </c>
      <c r="L7" t="s">
        <v>1473</v>
      </c>
      <c r="M7" s="5">
        <f t="shared" si="0"/>
        <v>2</v>
      </c>
      <c r="O7">
        <v>6</v>
      </c>
      <c r="P7" t="s">
        <v>1867</v>
      </c>
      <c r="Q7" t="s">
        <v>705</v>
      </c>
      <c r="R7" t="s">
        <v>161</v>
      </c>
      <c r="S7" t="s">
        <v>1868</v>
      </c>
      <c r="T7" t="s">
        <v>1844</v>
      </c>
      <c r="U7" t="s">
        <v>168</v>
      </c>
      <c r="V7" t="s">
        <v>1869</v>
      </c>
      <c r="Y7" t="s">
        <v>1870</v>
      </c>
    </row>
    <row r="8" spans="1:25" ht="28.8" x14ac:dyDescent="0.3">
      <c r="A8" t="s">
        <v>1496</v>
      </c>
      <c r="B8" s="5">
        <v>2</v>
      </c>
      <c r="C8" t="s">
        <v>1067</v>
      </c>
      <c r="D8" s="3" t="s">
        <v>1497</v>
      </c>
      <c r="E8" s="3" t="s">
        <v>1071</v>
      </c>
      <c r="F8" s="3" t="s">
        <v>1498</v>
      </c>
      <c r="H8" s="3" t="s">
        <v>1499</v>
      </c>
      <c r="I8" t="s">
        <v>1500</v>
      </c>
      <c r="J8" t="s">
        <v>1472</v>
      </c>
      <c r="K8" t="s">
        <v>116</v>
      </c>
      <c r="L8" t="s">
        <v>1473</v>
      </c>
      <c r="M8" s="5">
        <f t="shared" si="0"/>
        <v>3</v>
      </c>
      <c r="O8">
        <v>7</v>
      </c>
      <c r="P8" t="s">
        <v>1871</v>
      </c>
      <c r="Q8" t="s">
        <v>1872</v>
      </c>
      <c r="R8" t="s">
        <v>561</v>
      </c>
      <c r="S8" t="s">
        <v>168</v>
      </c>
      <c r="T8" t="s">
        <v>1873</v>
      </c>
      <c r="U8" t="s">
        <v>1844</v>
      </c>
      <c r="V8" t="s">
        <v>1874</v>
      </c>
      <c r="W8" t="s">
        <v>168</v>
      </c>
      <c r="X8" t="s">
        <v>1868</v>
      </c>
      <c r="Y8" t="s">
        <v>1875</v>
      </c>
    </row>
    <row r="9" spans="1:25" ht="28.8" x14ac:dyDescent="0.3">
      <c r="A9" t="s">
        <v>1501</v>
      </c>
      <c r="B9" s="5">
        <v>2</v>
      </c>
      <c r="C9" t="s">
        <v>1067</v>
      </c>
      <c r="D9" s="3" t="s">
        <v>1502</v>
      </c>
      <c r="E9" s="3" t="s">
        <v>1503</v>
      </c>
      <c r="F9" s="3" t="s">
        <v>1504</v>
      </c>
      <c r="H9" s="3" t="s">
        <v>1499</v>
      </c>
      <c r="I9" t="s">
        <v>1500</v>
      </c>
      <c r="J9" t="s">
        <v>1472</v>
      </c>
      <c r="K9" t="s">
        <v>116</v>
      </c>
      <c r="L9" t="s">
        <v>1473</v>
      </c>
      <c r="M9" s="5">
        <f t="shared" si="0"/>
        <v>3</v>
      </c>
    </row>
    <row r="10" spans="1:25" ht="28.8" x14ac:dyDescent="0.3">
      <c r="A10" t="s">
        <v>1505</v>
      </c>
      <c r="B10" s="5">
        <v>2</v>
      </c>
      <c r="C10" t="s">
        <v>1072</v>
      </c>
      <c r="D10" s="3" t="s">
        <v>1506</v>
      </c>
      <c r="E10" s="3" t="s">
        <v>1507</v>
      </c>
      <c r="F10" s="3" t="s">
        <v>1508</v>
      </c>
      <c r="H10" s="3" t="s">
        <v>1509</v>
      </c>
      <c r="I10" t="s">
        <v>1510</v>
      </c>
      <c r="J10" t="s">
        <v>1472</v>
      </c>
      <c r="K10" t="s">
        <v>116</v>
      </c>
      <c r="L10" t="s">
        <v>1473</v>
      </c>
      <c r="M10" s="5">
        <f t="shared" si="0"/>
        <v>4</v>
      </c>
    </row>
    <row r="11" spans="1:25" ht="28.8" x14ac:dyDescent="0.3">
      <c r="A11" t="s">
        <v>1511</v>
      </c>
      <c r="B11" s="5">
        <v>2</v>
      </c>
      <c r="C11" t="s">
        <v>1098</v>
      </c>
      <c r="D11" s="3" t="s">
        <v>1512</v>
      </c>
      <c r="E11" s="3" t="s">
        <v>1513</v>
      </c>
      <c r="F11" s="3" t="s">
        <v>1514</v>
      </c>
      <c r="H11" s="3" t="s">
        <v>1515</v>
      </c>
      <c r="I11" t="s">
        <v>1516</v>
      </c>
      <c r="J11" t="s">
        <v>1472</v>
      </c>
      <c r="K11" t="s">
        <v>116</v>
      </c>
      <c r="L11" t="s">
        <v>1473</v>
      </c>
      <c r="M11" s="5">
        <f t="shared" si="0"/>
        <v>2</v>
      </c>
    </row>
    <row r="12" spans="1:25" ht="28.8" x14ac:dyDescent="0.3">
      <c r="A12" t="s">
        <v>1517</v>
      </c>
      <c r="B12" s="5">
        <v>2</v>
      </c>
      <c r="C12" t="s">
        <v>1157</v>
      </c>
      <c r="D12" s="3" t="s">
        <v>1518</v>
      </c>
      <c r="E12" s="3" t="s">
        <v>1162</v>
      </c>
      <c r="F12" s="3" t="s">
        <v>1519</v>
      </c>
      <c r="H12" s="3" t="s">
        <v>1520</v>
      </c>
      <c r="I12" t="s">
        <v>747</v>
      </c>
      <c r="J12" t="s">
        <v>1472</v>
      </c>
      <c r="K12" t="s">
        <v>116</v>
      </c>
      <c r="L12" t="s">
        <v>1473</v>
      </c>
      <c r="M12" s="5">
        <f t="shared" si="0"/>
        <v>3</v>
      </c>
    </row>
    <row r="13" spans="1:25" ht="28.8" x14ac:dyDescent="0.3">
      <c r="A13" t="s">
        <v>1521</v>
      </c>
      <c r="B13" s="5">
        <v>2</v>
      </c>
      <c r="C13" t="s">
        <v>1157</v>
      </c>
      <c r="D13" s="3" t="s">
        <v>1522</v>
      </c>
      <c r="E13" s="3" t="s">
        <v>1523</v>
      </c>
      <c r="F13" s="3" t="s">
        <v>1524</v>
      </c>
      <c r="H13" s="3" t="s">
        <v>1520</v>
      </c>
      <c r="I13" t="s">
        <v>747</v>
      </c>
      <c r="J13" t="s">
        <v>1472</v>
      </c>
      <c r="K13" t="s">
        <v>116</v>
      </c>
      <c r="L13" t="s">
        <v>1473</v>
      </c>
      <c r="M13" s="5">
        <f t="shared" si="0"/>
        <v>3</v>
      </c>
    </row>
    <row r="14" spans="1:25" ht="28.8" x14ac:dyDescent="0.3">
      <c r="A14" t="s">
        <v>1525</v>
      </c>
      <c r="B14" s="5">
        <v>3</v>
      </c>
      <c r="C14" t="s">
        <v>1140</v>
      </c>
      <c r="D14" s="3" t="s">
        <v>1526</v>
      </c>
      <c r="E14" s="3" t="s">
        <v>1146</v>
      </c>
      <c r="F14" s="3" t="s">
        <v>1146</v>
      </c>
      <c r="H14" s="3" t="s">
        <v>1527</v>
      </c>
      <c r="I14" t="s">
        <v>1528</v>
      </c>
      <c r="J14" t="s">
        <v>1472</v>
      </c>
      <c r="K14" t="s">
        <v>116</v>
      </c>
      <c r="L14" t="s">
        <v>1473</v>
      </c>
      <c r="M14" s="5">
        <f t="shared" si="0"/>
        <v>1</v>
      </c>
    </row>
    <row r="15" spans="1:25" ht="28.8" x14ac:dyDescent="0.3">
      <c r="A15" t="s">
        <v>1529</v>
      </c>
      <c r="B15" s="5">
        <v>3</v>
      </c>
      <c r="C15" t="s">
        <v>1147</v>
      </c>
      <c r="D15" s="3" t="s">
        <v>1530</v>
      </c>
      <c r="E15" s="3" t="s">
        <v>1151</v>
      </c>
      <c r="F15" s="3" t="s">
        <v>1531</v>
      </c>
      <c r="H15" s="3" t="s">
        <v>1532</v>
      </c>
      <c r="I15" t="s">
        <v>1533</v>
      </c>
      <c r="J15" t="s">
        <v>1472</v>
      </c>
      <c r="K15" t="s">
        <v>116</v>
      </c>
      <c r="L15" t="s">
        <v>1473</v>
      </c>
      <c r="M15" s="5">
        <f t="shared" si="0"/>
        <v>3</v>
      </c>
    </row>
    <row r="16" spans="1:25" ht="28.8" x14ac:dyDescent="0.3">
      <c r="A16" t="s">
        <v>1534</v>
      </c>
      <c r="B16" s="5">
        <v>3</v>
      </c>
      <c r="C16" t="s">
        <v>1147</v>
      </c>
      <c r="D16" s="3" t="s">
        <v>1535</v>
      </c>
      <c r="E16" s="3" t="s">
        <v>1536</v>
      </c>
      <c r="F16" s="3" t="s">
        <v>1537</v>
      </c>
      <c r="H16" s="3" t="s">
        <v>1532</v>
      </c>
      <c r="I16" t="s">
        <v>1533</v>
      </c>
      <c r="J16" t="s">
        <v>1472</v>
      </c>
      <c r="K16" t="s">
        <v>116</v>
      </c>
      <c r="L16" t="s">
        <v>1473</v>
      </c>
      <c r="M16" s="5">
        <f t="shared" si="0"/>
        <v>3</v>
      </c>
    </row>
    <row r="17" spans="1:13" ht="28.8" x14ac:dyDescent="0.3">
      <c r="A17" t="s">
        <v>1538</v>
      </c>
      <c r="B17" s="5">
        <v>3</v>
      </c>
      <c r="C17" t="s">
        <v>1163</v>
      </c>
      <c r="D17" s="3" t="s">
        <v>1539</v>
      </c>
      <c r="E17" s="3" t="s">
        <v>1168</v>
      </c>
      <c r="F17" s="3" t="s">
        <v>1540</v>
      </c>
      <c r="H17" s="3" t="s">
        <v>1541</v>
      </c>
      <c r="I17" t="s">
        <v>761</v>
      </c>
      <c r="J17" t="s">
        <v>1472</v>
      </c>
      <c r="K17" t="s">
        <v>116</v>
      </c>
      <c r="L17" t="s">
        <v>1473</v>
      </c>
      <c r="M17" s="5">
        <f t="shared" si="0"/>
        <v>2</v>
      </c>
    </row>
    <row r="18" spans="1:13" ht="28.8" x14ac:dyDescent="0.3">
      <c r="A18" t="s">
        <v>1542</v>
      </c>
      <c r="B18" s="5">
        <v>3</v>
      </c>
      <c r="C18" t="s">
        <v>1169</v>
      </c>
      <c r="D18" s="3" t="s">
        <v>1543</v>
      </c>
      <c r="E18" s="3" t="s">
        <v>1544</v>
      </c>
      <c r="F18" s="3" t="s">
        <v>1545</v>
      </c>
      <c r="H18" s="3" t="s">
        <v>1546</v>
      </c>
      <c r="I18" t="s">
        <v>779</v>
      </c>
      <c r="J18" t="s">
        <v>1472</v>
      </c>
      <c r="K18" t="s">
        <v>116</v>
      </c>
      <c r="L18" t="s">
        <v>1473</v>
      </c>
      <c r="M18" s="5">
        <f t="shared" si="0"/>
        <v>3</v>
      </c>
    </row>
    <row r="19" spans="1:13" ht="28.8" x14ac:dyDescent="0.3">
      <c r="A19" t="s">
        <v>1547</v>
      </c>
      <c r="B19" s="5">
        <v>3</v>
      </c>
      <c r="C19" t="s">
        <v>1169</v>
      </c>
      <c r="D19" s="3" t="s">
        <v>1548</v>
      </c>
      <c r="E19" s="3" t="s">
        <v>1549</v>
      </c>
      <c r="F19" s="3" t="s">
        <v>1550</v>
      </c>
      <c r="H19" s="3" t="s">
        <v>1546</v>
      </c>
      <c r="I19" t="s">
        <v>779</v>
      </c>
      <c r="J19" t="s">
        <v>1472</v>
      </c>
      <c r="K19" t="s">
        <v>116</v>
      </c>
      <c r="L19" t="s">
        <v>1473</v>
      </c>
      <c r="M19" s="5">
        <f t="shared" si="0"/>
        <v>3</v>
      </c>
    </row>
    <row r="20" spans="1:13" ht="28.8" x14ac:dyDescent="0.3">
      <c r="A20" t="s">
        <v>1551</v>
      </c>
      <c r="B20" s="5">
        <v>4</v>
      </c>
      <c r="C20" t="s">
        <v>1108</v>
      </c>
      <c r="D20" s="3" t="s">
        <v>1552</v>
      </c>
      <c r="E20" s="3" t="s">
        <v>1113</v>
      </c>
      <c r="F20" s="3" t="s">
        <v>1553</v>
      </c>
      <c r="H20" s="3" t="s">
        <v>1554</v>
      </c>
      <c r="I20" t="s">
        <v>1555</v>
      </c>
      <c r="J20" t="s">
        <v>1556</v>
      </c>
      <c r="K20" t="s">
        <v>116</v>
      </c>
      <c r="L20" t="s">
        <v>1473</v>
      </c>
      <c r="M20" s="5">
        <f t="shared" si="0"/>
        <v>2</v>
      </c>
    </row>
    <row r="21" spans="1:13" ht="28.8" x14ac:dyDescent="0.3">
      <c r="A21" t="s">
        <v>1557</v>
      </c>
      <c r="B21" s="5">
        <v>4</v>
      </c>
      <c r="C21" t="s">
        <v>1119</v>
      </c>
      <c r="D21" s="3" t="s">
        <v>1558</v>
      </c>
      <c r="E21" s="3" t="s">
        <v>1124</v>
      </c>
      <c r="F21" s="3" t="s">
        <v>1559</v>
      </c>
      <c r="H21" s="3" t="s">
        <v>1560</v>
      </c>
      <c r="I21" t="s">
        <v>1561</v>
      </c>
      <c r="J21" t="s">
        <v>1556</v>
      </c>
      <c r="K21" t="s">
        <v>116</v>
      </c>
      <c r="L21" t="s">
        <v>1473</v>
      </c>
      <c r="M21" s="5">
        <f t="shared" si="0"/>
        <v>2</v>
      </c>
    </row>
    <row r="22" spans="1:13" ht="28.8" x14ac:dyDescent="0.3">
      <c r="A22" t="s">
        <v>1562</v>
      </c>
      <c r="B22" s="5">
        <v>4</v>
      </c>
      <c r="C22" t="s">
        <v>1125</v>
      </c>
      <c r="D22" s="3" t="s">
        <v>1563</v>
      </c>
      <c r="E22" s="3" t="s">
        <v>1129</v>
      </c>
      <c r="F22" s="3" t="s">
        <v>1564</v>
      </c>
      <c r="H22" s="3" t="s">
        <v>1565</v>
      </c>
      <c r="I22" t="s">
        <v>1561</v>
      </c>
      <c r="J22" t="s">
        <v>1556</v>
      </c>
      <c r="K22" t="s">
        <v>116</v>
      </c>
      <c r="L22" t="s">
        <v>1473</v>
      </c>
      <c r="M22" s="5">
        <f t="shared" si="0"/>
        <v>3</v>
      </c>
    </row>
    <row r="23" spans="1:13" ht="28.8" x14ac:dyDescent="0.3">
      <c r="A23" t="s">
        <v>1566</v>
      </c>
      <c r="B23" s="5">
        <v>4</v>
      </c>
      <c r="C23" t="s">
        <v>1130</v>
      </c>
      <c r="D23" s="3" t="s">
        <v>1567</v>
      </c>
      <c r="E23" s="3" t="s">
        <v>1134</v>
      </c>
      <c r="F23" s="3" t="s">
        <v>1568</v>
      </c>
      <c r="H23" s="3" t="s">
        <v>1569</v>
      </c>
      <c r="I23" t="s">
        <v>1570</v>
      </c>
      <c r="J23" t="s">
        <v>1556</v>
      </c>
      <c r="K23" t="s">
        <v>116</v>
      </c>
      <c r="L23" t="s">
        <v>1473</v>
      </c>
      <c r="M23" s="5">
        <f t="shared" si="0"/>
        <v>4</v>
      </c>
    </row>
    <row r="24" spans="1:13" ht="28.8" x14ac:dyDescent="0.3">
      <c r="A24" t="s">
        <v>1571</v>
      </c>
      <c r="B24" s="5">
        <v>4</v>
      </c>
      <c r="C24" t="s">
        <v>1163</v>
      </c>
      <c r="D24" s="3" t="s">
        <v>1572</v>
      </c>
      <c r="E24" s="3" t="s">
        <v>1573</v>
      </c>
      <c r="F24" s="3" t="s">
        <v>1574</v>
      </c>
      <c r="H24" s="3" t="s">
        <v>1541</v>
      </c>
      <c r="I24" t="s">
        <v>1575</v>
      </c>
      <c r="J24" t="s">
        <v>1556</v>
      </c>
      <c r="K24" t="s">
        <v>116</v>
      </c>
      <c r="L24" t="s">
        <v>1473</v>
      </c>
      <c r="M24" s="5">
        <f t="shared" si="0"/>
        <v>3</v>
      </c>
    </row>
    <row r="25" spans="1:13" ht="28.8" x14ac:dyDescent="0.3">
      <c r="A25" t="s">
        <v>1576</v>
      </c>
      <c r="B25" s="5">
        <v>4</v>
      </c>
      <c r="C25" t="s">
        <v>1169</v>
      </c>
      <c r="D25" s="3" t="s">
        <v>1577</v>
      </c>
      <c r="E25" s="3" t="s">
        <v>1578</v>
      </c>
      <c r="F25" s="3" t="s">
        <v>1579</v>
      </c>
      <c r="H25" s="3" t="s">
        <v>1546</v>
      </c>
      <c r="I25" t="s">
        <v>1575</v>
      </c>
      <c r="J25" t="s">
        <v>1556</v>
      </c>
      <c r="K25" t="s">
        <v>116</v>
      </c>
      <c r="L25" t="s">
        <v>1473</v>
      </c>
      <c r="M25" s="5">
        <f t="shared" si="0"/>
        <v>4</v>
      </c>
    </row>
    <row r="26" spans="1:13" ht="28.8" x14ac:dyDescent="0.3">
      <c r="A26" t="s">
        <v>1580</v>
      </c>
      <c r="B26" s="5">
        <v>5</v>
      </c>
      <c r="C26" t="s">
        <v>1175</v>
      </c>
      <c r="D26" s="3" t="s">
        <v>1581</v>
      </c>
      <c r="E26" s="3" t="s">
        <v>1180</v>
      </c>
      <c r="F26" s="3" t="s">
        <v>1582</v>
      </c>
      <c r="H26" s="3" t="s">
        <v>1583</v>
      </c>
      <c r="I26" t="s">
        <v>1584</v>
      </c>
      <c r="J26" t="s">
        <v>1556</v>
      </c>
      <c r="K26" t="s">
        <v>116</v>
      </c>
      <c r="L26" t="s">
        <v>1473</v>
      </c>
      <c r="M26" s="5">
        <f t="shared" si="0"/>
        <v>4</v>
      </c>
    </row>
    <row r="27" spans="1:13" ht="28.8" x14ac:dyDescent="0.3">
      <c r="A27" t="s">
        <v>1585</v>
      </c>
      <c r="B27" s="5">
        <v>5</v>
      </c>
      <c r="C27" t="s">
        <v>1181</v>
      </c>
      <c r="D27" s="3" t="s">
        <v>1581</v>
      </c>
      <c r="E27" s="3" t="s">
        <v>1185</v>
      </c>
      <c r="F27" s="3" t="s">
        <v>1586</v>
      </c>
      <c r="H27" s="3" t="s">
        <v>1587</v>
      </c>
      <c r="I27" t="s">
        <v>1588</v>
      </c>
      <c r="J27" t="s">
        <v>1556</v>
      </c>
      <c r="K27" t="s">
        <v>116</v>
      </c>
      <c r="L27" t="s">
        <v>1473</v>
      </c>
      <c r="M27" s="5">
        <f t="shared" si="0"/>
        <v>5</v>
      </c>
    </row>
    <row r="28" spans="1:13" ht="28.8" x14ac:dyDescent="0.3">
      <c r="A28" t="s">
        <v>1589</v>
      </c>
      <c r="B28" s="5">
        <v>5</v>
      </c>
      <c r="C28" t="s">
        <v>1175</v>
      </c>
      <c r="D28" s="3" t="s">
        <v>1590</v>
      </c>
      <c r="E28" s="3" t="s">
        <v>1591</v>
      </c>
      <c r="F28" s="3" t="s">
        <v>1592</v>
      </c>
      <c r="H28" s="3" t="s">
        <v>1583</v>
      </c>
      <c r="I28" t="s">
        <v>1584</v>
      </c>
      <c r="J28" t="s">
        <v>1556</v>
      </c>
      <c r="K28" t="s">
        <v>116</v>
      </c>
      <c r="L28" t="s">
        <v>1473</v>
      </c>
      <c r="M28" s="5">
        <f t="shared" si="0"/>
        <v>4</v>
      </c>
    </row>
    <row r="29" spans="1:13" ht="28.8" x14ac:dyDescent="0.3">
      <c r="A29" t="s">
        <v>1593</v>
      </c>
      <c r="B29" s="5">
        <v>5</v>
      </c>
      <c r="C29" t="s">
        <v>1181</v>
      </c>
      <c r="D29" s="3" t="s">
        <v>1590</v>
      </c>
      <c r="E29" s="3" t="s">
        <v>1594</v>
      </c>
      <c r="F29" s="3" t="s">
        <v>1595</v>
      </c>
      <c r="H29" s="3" t="s">
        <v>1587</v>
      </c>
      <c r="I29" t="s">
        <v>1588</v>
      </c>
      <c r="J29" t="s">
        <v>1556</v>
      </c>
      <c r="K29" t="s">
        <v>116</v>
      </c>
      <c r="L29" t="s">
        <v>1473</v>
      </c>
      <c r="M29" s="5">
        <f t="shared" si="0"/>
        <v>5</v>
      </c>
    </row>
    <row r="30" spans="1:13" ht="28.8" x14ac:dyDescent="0.3">
      <c r="A30" t="s">
        <v>1596</v>
      </c>
      <c r="B30" s="5">
        <v>5</v>
      </c>
      <c r="C30" t="s">
        <v>1175</v>
      </c>
      <c r="D30" s="3" t="s">
        <v>1597</v>
      </c>
      <c r="E30" s="3" t="s">
        <v>1598</v>
      </c>
      <c r="F30" s="3" t="s">
        <v>1599</v>
      </c>
      <c r="H30" s="3" t="s">
        <v>1583</v>
      </c>
      <c r="I30" t="s">
        <v>1584</v>
      </c>
      <c r="J30" t="s">
        <v>1556</v>
      </c>
      <c r="K30" t="s">
        <v>116</v>
      </c>
      <c r="L30" t="s">
        <v>1473</v>
      </c>
      <c r="M30" s="5">
        <f t="shared" si="0"/>
        <v>4</v>
      </c>
    </row>
    <row r="31" spans="1:13" ht="28.8" x14ac:dyDescent="0.3">
      <c r="A31" t="s">
        <v>1600</v>
      </c>
      <c r="B31" s="5">
        <v>5</v>
      </c>
      <c r="C31" t="s">
        <v>1181</v>
      </c>
      <c r="D31" s="3" t="s">
        <v>1597</v>
      </c>
      <c r="E31" s="3" t="s">
        <v>1601</v>
      </c>
      <c r="F31" s="3" t="s">
        <v>1602</v>
      </c>
      <c r="H31" s="3" t="s">
        <v>1587</v>
      </c>
      <c r="I31" t="s">
        <v>1588</v>
      </c>
      <c r="J31" t="s">
        <v>1556</v>
      </c>
      <c r="K31" t="s">
        <v>116</v>
      </c>
      <c r="L31" t="s">
        <v>1473</v>
      </c>
      <c r="M31" s="5">
        <f t="shared" si="0"/>
        <v>5</v>
      </c>
    </row>
    <row r="32" spans="1:13" ht="28.8" x14ac:dyDescent="0.3">
      <c r="A32" t="s">
        <v>1603</v>
      </c>
      <c r="B32" s="5">
        <v>6</v>
      </c>
      <c r="C32" t="s">
        <v>1186</v>
      </c>
      <c r="D32" s="3" t="s">
        <v>1604</v>
      </c>
      <c r="E32" s="3" t="s">
        <v>1605</v>
      </c>
      <c r="F32" s="3" t="s">
        <v>1606</v>
      </c>
      <c r="H32" s="3" t="s">
        <v>1607</v>
      </c>
      <c r="I32" t="s">
        <v>1608</v>
      </c>
      <c r="J32" t="s">
        <v>1556</v>
      </c>
      <c r="K32" t="s">
        <v>116</v>
      </c>
      <c r="L32" t="s">
        <v>1473</v>
      </c>
      <c r="M32" s="5">
        <f t="shared" si="0"/>
        <v>4</v>
      </c>
    </row>
    <row r="33" spans="1:13" ht="28.8" x14ac:dyDescent="0.3">
      <c r="A33" t="s">
        <v>1609</v>
      </c>
      <c r="B33" s="5">
        <v>6</v>
      </c>
      <c r="C33" t="s">
        <v>1193</v>
      </c>
      <c r="D33" s="3" t="s">
        <v>1610</v>
      </c>
      <c r="E33" s="3" t="s">
        <v>1611</v>
      </c>
      <c r="F33" s="3" t="s">
        <v>1612</v>
      </c>
      <c r="H33" s="3" t="s">
        <v>1613</v>
      </c>
      <c r="I33" t="s">
        <v>1614</v>
      </c>
      <c r="J33" t="s">
        <v>1556</v>
      </c>
      <c r="K33" t="s">
        <v>116</v>
      </c>
      <c r="L33" t="s">
        <v>1473</v>
      </c>
      <c r="M33" s="5">
        <f t="shared" si="0"/>
        <v>4</v>
      </c>
    </row>
    <row r="34" spans="1:13" ht="28.8" x14ac:dyDescent="0.3">
      <c r="A34" t="s">
        <v>1615</v>
      </c>
      <c r="B34" s="5">
        <v>6</v>
      </c>
      <c r="C34" t="s">
        <v>1199</v>
      </c>
      <c r="D34" s="3" t="s">
        <v>1616</v>
      </c>
      <c r="E34" s="3" t="s">
        <v>1617</v>
      </c>
      <c r="F34" s="3" t="s">
        <v>1618</v>
      </c>
      <c r="H34" s="3" t="s">
        <v>1619</v>
      </c>
      <c r="I34" t="s">
        <v>1620</v>
      </c>
      <c r="J34" t="s">
        <v>1556</v>
      </c>
      <c r="K34" t="s">
        <v>116</v>
      </c>
      <c r="L34" t="s">
        <v>1473</v>
      </c>
      <c r="M34" s="5">
        <f t="shared" si="0"/>
        <v>4</v>
      </c>
    </row>
    <row r="35" spans="1:13" ht="28.8" x14ac:dyDescent="0.3">
      <c r="A35" t="s">
        <v>1621</v>
      </c>
      <c r="B35" s="5">
        <v>6</v>
      </c>
      <c r="C35" t="s">
        <v>1205</v>
      </c>
      <c r="D35" s="3" t="s">
        <v>1622</v>
      </c>
      <c r="E35" s="3" t="s">
        <v>1623</v>
      </c>
      <c r="F35" s="3" t="s">
        <v>1624</v>
      </c>
      <c r="H35" s="3" t="s">
        <v>1625</v>
      </c>
      <c r="I35" t="s">
        <v>716</v>
      </c>
      <c r="J35" t="s">
        <v>1556</v>
      </c>
      <c r="K35" t="s">
        <v>116</v>
      </c>
      <c r="L35" t="s">
        <v>1473</v>
      </c>
      <c r="M35" s="5">
        <f t="shared" si="0"/>
        <v>4</v>
      </c>
    </row>
    <row r="36" spans="1:13" ht="28.8" x14ac:dyDescent="0.3">
      <c r="A36" t="s">
        <v>1626</v>
      </c>
      <c r="B36" s="5">
        <v>6</v>
      </c>
      <c r="C36" t="s">
        <v>1211</v>
      </c>
      <c r="D36" s="3" t="s">
        <v>1627</v>
      </c>
      <c r="E36" s="3" t="s">
        <v>1628</v>
      </c>
      <c r="F36" s="3" t="s">
        <v>1629</v>
      </c>
      <c r="H36" s="3" t="s">
        <v>1630</v>
      </c>
      <c r="I36" t="s">
        <v>1631</v>
      </c>
      <c r="J36" t="s">
        <v>1556</v>
      </c>
      <c r="K36" t="s">
        <v>116</v>
      </c>
      <c r="L36" t="s">
        <v>1473</v>
      </c>
      <c r="M36" s="5">
        <f t="shared" si="0"/>
        <v>5</v>
      </c>
    </row>
    <row r="37" spans="1:13" ht="28.8" x14ac:dyDescent="0.3">
      <c r="A37" t="s">
        <v>1632</v>
      </c>
      <c r="B37" s="5">
        <v>6</v>
      </c>
      <c r="C37" t="s">
        <v>1205</v>
      </c>
      <c r="D37" s="3" t="s">
        <v>1633</v>
      </c>
      <c r="E37" s="3" t="s">
        <v>1634</v>
      </c>
      <c r="F37" s="3" t="s">
        <v>1635</v>
      </c>
      <c r="H37" s="3" t="s">
        <v>1625</v>
      </c>
      <c r="I37" t="s">
        <v>716</v>
      </c>
      <c r="J37" t="s">
        <v>1556</v>
      </c>
      <c r="K37" t="s">
        <v>116</v>
      </c>
      <c r="L37" t="s">
        <v>1473</v>
      </c>
      <c r="M37" s="5">
        <f t="shared" si="0"/>
        <v>4</v>
      </c>
    </row>
    <row r="38" spans="1:13" ht="28.8" x14ac:dyDescent="0.3">
      <c r="A38" t="s">
        <v>1636</v>
      </c>
      <c r="B38" s="5">
        <v>7</v>
      </c>
      <c r="C38" t="s">
        <v>1235</v>
      </c>
      <c r="D38" s="3" t="s">
        <v>1637</v>
      </c>
      <c r="E38" s="3" t="s">
        <v>1638</v>
      </c>
      <c r="F38" s="3" t="s">
        <v>1639</v>
      </c>
      <c r="H38" s="3" t="s">
        <v>1640</v>
      </c>
      <c r="I38" t="s">
        <v>1641</v>
      </c>
      <c r="J38" t="s">
        <v>1556</v>
      </c>
      <c r="K38" t="s">
        <v>116</v>
      </c>
      <c r="L38" t="s">
        <v>1473</v>
      </c>
      <c r="M38" s="5">
        <f t="shared" si="0"/>
        <v>3</v>
      </c>
    </row>
    <row r="39" spans="1:13" ht="28.8" x14ac:dyDescent="0.3">
      <c r="A39" t="s">
        <v>1642</v>
      </c>
      <c r="B39" s="5">
        <v>7</v>
      </c>
      <c r="C39" t="s">
        <v>1241</v>
      </c>
      <c r="D39" s="3" t="s">
        <v>1643</v>
      </c>
      <c r="E39" s="3" t="s">
        <v>1644</v>
      </c>
      <c r="F39" s="3" t="s">
        <v>1645</v>
      </c>
      <c r="H39" s="3" t="s">
        <v>1646</v>
      </c>
      <c r="I39" t="s">
        <v>1647</v>
      </c>
      <c r="J39" t="s">
        <v>1556</v>
      </c>
      <c r="K39" t="s">
        <v>116</v>
      </c>
      <c r="L39" t="s">
        <v>1473</v>
      </c>
      <c r="M39" s="5">
        <f t="shared" si="0"/>
        <v>4</v>
      </c>
    </row>
    <row r="40" spans="1:13" ht="28.8" x14ac:dyDescent="0.3">
      <c r="A40" t="s">
        <v>1648</v>
      </c>
      <c r="B40" s="5">
        <v>7</v>
      </c>
      <c r="C40" t="s">
        <v>1247</v>
      </c>
      <c r="D40" s="3" t="s">
        <v>1649</v>
      </c>
      <c r="E40" s="3" t="s">
        <v>1650</v>
      </c>
      <c r="F40" s="3" t="s">
        <v>1651</v>
      </c>
      <c r="H40" s="3" t="s">
        <v>1652</v>
      </c>
      <c r="I40" t="s">
        <v>872</v>
      </c>
      <c r="J40" t="s">
        <v>1556</v>
      </c>
      <c r="K40" t="s">
        <v>116</v>
      </c>
      <c r="L40" t="s">
        <v>1473</v>
      </c>
      <c r="M40" s="5">
        <f t="shared" si="0"/>
        <v>5</v>
      </c>
    </row>
    <row r="41" spans="1:13" ht="28.8" x14ac:dyDescent="0.3">
      <c r="A41" t="s">
        <v>1653</v>
      </c>
      <c r="B41" s="5">
        <v>7</v>
      </c>
      <c r="C41" t="s">
        <v>1253</v>
      </c>
      <c r="D41" s="3" t="s">
        <v>1654</v>
      </c>
      <c r="E41" s="3" t="s">
        <v>1655</v>
      </c>
      <c r="F41" s="3" t="s">
        <v>1656</v>
      </c>
      <c r="H41" s="3" t="s">
        <v>1657</v>
      </c>
      <c r="I41" t="s">
        <v>1658</v>
      </c>
      <c r="J41" t="s">
        <v>1556</v>
      </c>
      <c r="K41" t="s">
        <v>116</v>
      </c>
      <c r="L41" t="s">
        <v>1473</v>
      </c>
      <c r="M41" s="5">
        <f t="shared" si="0"/>
        <v>5</v>
      </c>
    </row>
    <row r="42" spans="1:13" ht="28.8" x14ac:dyDescent="0.3">
      <c r="A42" t="s">
        <v>1659</v>
      </c>
      <c r="B42" s="5">
        <v>7</v>
      </c>
      <c r="C42" t="s">
        <v>1259</v>
      </c>
      <c r="D42" s="3" t="s">
        <v>1660</v>
      </c>
      <c r="E42" s="3" t="s">
        <v>1661</v>
      </c>
      <c r="F42" s="3" t="s">
        <v>1662</v>
      </c>
      <c r="H42" s="3" t="s">
        <v>1663</v>
      </c>
      <c r="I42" t="s">
        <v>1664</v>
      </c>
      <c r="J42" t="s">
        <v>1556</v>
      </c>
      <c r="K42" t="s">
        <v>116</v>
      </c>
      <c r="L42" t="s">
        <v>1473</v>
      </c>
      <c r="M42" s="5">
        <f t="shared" si="0"/>
        <v>5</v>
      </c>
    </row>
    <row r="43" spans="1:13" ht="28.8" x14ac:dyDescent="0.3">
      <c r="A43" t="s">
        <v>1665</v>
      </c>
      <c r="B43" s="5">
        <v>7</v>
      </c>
      <c r="C43" t="s">
        <v>1223</v>
      </c>
      <c r="D43" s="3" t="s">
        <v>1666</v>
      </c>
      <c r="E43" s="3" t="s">
        <v>1667</v>
      </c>
      <c r="F43" s="3" t="s">
        <v>1668</v>
      </c>
      <c r="H43" s="3" t="s">
        <v>1669</v>
      </c>
      <c r="I43" t="s">
        <v>1670</v>
      </c>
      <c r="J43" t="s">
        <v>1556</v>
      </c>
      <c r="K43" t="s">
        <v>116</v>
      </c>
      <c r="L43" t="s">
        <v>1473</v>
      </c>
      <c r="M43" s="5">
        <f t="shared" si="0"/>
        <v>3</v>
      </c>
    </row>
    <row r="44" spans="1:13" ht="28.8" x14ac:dyDescent="0.3">
      <c r="A44" t="s">
        <v>1671</v>
      </c>
      <c r="B44" s="5">
        <v>8</v>
      </c>
      <c r="C44" t="s">
        <v>1077</v>
      </c>
      <c r="D44" s="3" t="s">
        <v>1672</v>
      </c>
      <c r="E44" s="3" t="s">
        <v>1673</v>
      </c>
      <c r="F44" s="3" t="s">
        <v>1674</v>
      </c>
      <c r="H44" s="3" t="s">
        <v>1675</v>
      </c>
      <c r="I44" t="s">
        <v>1676</v>
      </c>
      <c r="J44" t="s">
        <v>1556</v>
      </c>
      <c r="K44" t="s">
        <v>116</v>
      </c>
      <c r="L44" t="s">
        <v>1473</v>
      </c>
      <c r="M44" s="5">
        <f t="shared" si="0"/>
        <v>5</v>
      </c>
    </row>
    <row r="45" spans="1:13" ht="28.8" x14ac:dyDescent="0.3">
      <c r="A45" t="s">
        <v>1677</v>
      </c>
      <c r="B45" s="5">
        <v>8</v>
      </c>
      <c r="C45" t="s">
        <v>1082</v>
      </c>
      <c r="D45" s="3" t="s">
        <v>1678</v>
      </c>
      <c r="E45" s="3" t="s">
        <v>1679</v>
      </c>
      <c r="F45" s="3" t="s">
        <v>1680</v>
      </c>
      <c r="H45" s="3" t="s">
        <v>1681</v>
      </c>
      <c r="I45" t="s">
        <v>1682</v>
      </c>
      <c r="J45" t="s">
        <v>1556</v>
      </c>
      <c r="K45" t="s">
        <v>116</v>
      </c>
      <c r="L45" t="s">
        <v>1473</v>
      </c>
      <c r="M45" s="5">
        <f t="shared" si="0"/>
        <v>3</v>
      </c>
    </row>
    <row r="46" spans="1:13" ht="28.8" x14ac:dyDescent="0.3">
      <c r="A46" t="s">
        <v>1683</v>
      </c>
      <c r="B46" s="5">
        <v>8</v>
      </c>
      <c r="C46" t="s">
        <v>1087</v>
      </c>
      <c r="D46" s="3" t="s">
        <v>1684</v>
      </c>
      <c r="E46" s="3" t="s">
        <v>1091</v>
      </c>
      <c r="F46" s="3" t="s">
        <v>1685</v>
      </c>
      <c r="H46" s="3" t="s">
        <v>1686</v>
      </c>
      <c r="I46" t="s">
        <v>1687</v>
      </c>
      <c r="J46" t="s">
        <v>1556</v>
      </c>
      <c r="K46" t="s">
        <v>116</v>
      </c>
      <c r="L46" t="s">
        <v>1473</v>
      </c>
      <c r="M46" s="5">
        <f t="shared" si="0"/>
        <v>3</v>
      </c>
    </row>
    <row r="47" spans="1:13" ht="28.8" x14ac:dyDescent="0.3">
      <c r="A47" t="s">
        <v>1688</v>
      </c>
      <c r="B47" s="5">
        <v>8</v>
      </c>
      <c r="C47" t="s">
        <v>1092</v>
      </c>
      <c r="D47" s="3" t="s">
        <v>1689</v>
      </c>
      <c r="E47" s="3" t="s">
        <v>1690</v>
      </c>
      <c r="F47" s="3" t="s">
        <v>1691</v>
      </c>
      <c r="H47" s="3" t="s">
        <v>1692</v>
      </c>
      <c r="I47" t="s">
        <v>1500</v>
      </c>
      <c r="J47" t="s">
        <v>1556</v>
      </c>
      <c r="K47" t="s">
        <v>116</v>
      </c>
      <c r="L47" t="s">
        <v>1473</v>
      </c>
      <c r="M47" s="5">
        <f t="shared" si="0"/>
        <v>6</v>
      </c>
    </row>
    <row r="48" spans="1:13" ht="28.8" x14ac:dyDescent="0.3">
      <c r="A48" t="s">
        <v>1693</v>
      </c>
      <c r="B48" s="5">
        <v>8</v>
      </c>
      <c r="C48" t="s">
        <v>1103</v>
      </c>
      <c r="D48" s="3" t="s">
        <v>1694</v>
      </c>
      <c r="E48" s="3" t="s">
        <v>1107</v>
      </c>
      <c r="F48" s="3" t="s">
        <v>1695</v>
      </c>
      <c r="H48" s="3" t="s">
        <v>1696</v>
      </c>
      <c r="I48" t="s">
        <v>1697</v>
      </c>
      <c r="J48" t="s">
        <v>1556</v>
      </c>
      <c r="K48" t="s">
        <v>116</v>
      </c>
      <c r="L48" t="s">
        <v>1473</v>
      </c>
      <c r="M48" s="5">
        <f t="shared" si="0"/>
        <v>3</v>
      </c>
    </row>
    <row r="49" spans="1:13" ht="28.8" x14ac:dyDescent="0.3">
      <c r="A49" t="s">
        <v>1698</v>
      </c>
      <c r="B49" s="5">
        <v>8</v>
      </c>
      <c r="C49" t="s">
        <v>1331</v>
      </c>
      <c r="D49" s="3" t="s">
        <v>1699</v>
      </c>
      <c r="E49" s="3" t="s">
        <v>1700</v>
      </c>
      <c r="F49" s="3" t="s">
        <v>1701</v>
      </c>
      <c r="H49" s="3" t="s">
        <v>1702</v>
      </c>
      <c r="I49" t="s">
        <v>1703</v>
      </c>
      <c r="J49" t="s">
        <v>1556</v>
      </c>
      <c r="K49" t="s">
        <v>116</v>
      </c>
      <c r="L49" t="s">
        <v>1473</v>
      </c>
      <c r="M49" s="5">
        <f t="shared" si="0"/>
        <v>8</v>
      </c>
    </row>
    <row r="50" spans="1:13" ht="28.8" x14ac:dyDescent="0.3">
      <c r="A50" t="s">
        <v>1704</v>
      </c>
      <c r="B50" s="5">
        <v>9</v>
      </c>
      <c r="C50" t="s">
        <v>1283</v>
      </c>
      <c r="D50" s="3" t="s">
        <v>1705</v>
      </c>
      <c r="E50" s="3" t="s">
        <v>1289</v>
      </c>
      <c r="F50" s="3" t="s">
        <v>1706</v>
      </c>
      <c r="H50" s="3" t="s">
        <v>1707</v>
      </c>
      <c r="I50" t="s">
        <v>1708</v>
      </c>
      <c r="J50" t="s">
        <v>1709</v>
      </c>
      <c r="K50" t="s">
        <v>116</v>
      </c>
      <c r="L50" t="s">
        <v>1473</v>
      </c>
      <c r="M50" s="5">
        <f t="shared" si="0"/>
        <v>3</v>
      </c>
    </row>
    <row r="51" spans="1:13" ht="28.8" x14ac:dyDescent="0.3">
      <c r="A51" t="s">
        <v>1710</v>
      </c>
      <c r="B51" s="5">
        <v>9</v>
      </c>
      <c r="C51" t="s">
        <v>1290</v>
      </c>
      <c r="D51" s="3" t="s">
        <v>1711</v>
      </c>
      <c r="E51" s="3" t="s">
        <v>1294</v>
      </c>
      <c r="F51" s="3" t="s">
        <v>1712</v>
      </c>
      <c r="H51" s="3" t="s">
        <v>1713</v>
      </c>
      <c r="I51" t="s">
        <v>1708</v>
      </c>
      <c r="J51" t="s">
        <v>1709</v>
      </c>
      <c r="K51" t="s">
        <v>116</v>
      </c>
      <c r="L51" t="s">
        <v>1473</v>
      </c>
      <c r="M51" s="5">
        <f t="shared" si="0"/>
        <v>3</v>
      </c>
    </row>
    <row r="52" spans="1:13" ht="28.8" x14ac:dyDescent="0.3">
      <c r="A52" t="s">
        <v>1714</v>
      </c>
      <c r="B52" s="5">
        <v>9</v>
      </c>
      <c r="C52" t="s">
        <v>1295</v>
      </c>
      <c r="D52" s="3" t="s">
        <v>1715</v>
      </c>
      <c r="E52" s="3" t="s">
        <v>1300</v>
      </c>
      <c r="F52" s="3" t="s">
        <v>1716</v>
      </c>
      <c r="H52" s="3" t="s">
        <v>1717</v>
      </c>
      <c r="I52" t="s">
        <v>1718</v>
      </c>
      <c r="J52" t="s">
        <v>1709</v>
      </c>
      <c r="K52" t="s">
        <v>116</v>
      </c>
      <c r="L52" t="s">
        <v>1473</v>
      </c>
      <c r="M52" s="5">
        <f t="shared" si="0"/>
        <v>3</v>
      </c>
    </row>
    <row r="53" spans="1:13" ht="28.8" x14ac:dyDescent="0.3">
      <c r="A53" t="s">
        <v>1719</v>
      </c>
      <c r="B53" s="5">
        <v>9</v>
      </c>
      <c r="C53" t="s">
        <v>1301</v>
      </c>
      <c r="D53" s="3" t="s">
        <v>1720</v>
      </c>
      <c r="E53" s="3" t="s">
        <v>1305</v>
      </c>
      <c r="F53" s="3" t="s">
        <v>1721</v>
      </c>
      <c r="H53" s="3" t="s">
        <v>1722</v>
      </c>
      <c r="I53" t="s">
        <v>661</v>
      </c>
      <c r="J53" t="s">
        <v>1709</v>
      </c>
      <c r="K53" t="s">
        <v>116</v>
      </c>
      <c r="L53" t="s">
        <v>1473</v>
      </c>
      <c r="M53" s="5">
        <f t="shared" si="0"/>
        <v>3</v>
      </c>
    </row>
    <row r="54" spans="1:13" ht="28.8" x14ac:dyDescent="0.3">
      <c r="A54" t="s">
        <v>1723</v>
      </c>
      <c r="B54" s="5">
        <v>9</v>
      </c>
      <c r="C54" t="s">
        <v>1306</v>
      </c>
      <c r="D54" s="3" t="s">
        <v>1724</v>
      </c>
      <c r="E54" s="3" t="s">
        <v>1311</v>
      </c>
      <c r="F54" s="3" t="s">
        <v>1725</v>
      </c>
      <c r="H54" s="3" t="s">
        <v>1726</v>
      </c>
      <c r="I54" t="s">
        <v>1727</v>
      </c>
      <c r="J54" t="s">
        <v>1709</v>
      </c>
      <c r="K54" t="s">
        <v>116</v>
      </c>
      <c r="L54" t="s">
        <v>1473</v>
      </c>
      <c r="M54" s="5">
        <f t="shared" si="0"/>
        <v>4</v>
      </c>
    </row>
    <row r="55" spans="1:13" ht="28.8" x14ac:dyDescent="0.3">
      <c r="A55" t="s">
        <v>1728</v>
      </c>
      <c r="B55" s="5">
        <v>9</v>
      </c>
      <c r="C55" t="s">
        <v>1312</v>
      </c>
      <c r="D55" s="3" t="s">
        <v>1729</v>
      </c>
      <c r="E55" s="3" t="s">
        <v>1316</v>
      </c>
      <c r="F55" s="3" t="s">
        <v>1730</v>
      </c>
      <c r="H55" s="3" t="s">
        <v>1731</v>
      </c>
      <c r="I55" t="s">
        <v>1732</v>
      </c>
      <c r="J55" t="s">
        <v>1709</v>
      </c>
      <c r="K55" t="s">
        <v>116</v>
      </c>
      <c r="L55" t="s">
        <v>1473</v>
      </c>
      <c r="M55" s="5">
        <f t="shared" si="0"/>
        <v>4</v>
      </c>
    </row>
    <row r="56" spans="1:13" ht="28.8" x14ac:dyDescent="0.3">
      <c r="A56" t="s">
        <v>1733</v>
      </c>
      <c r="B56" s="5">
        <v>10</v>
      </c>
      <c r="C56" t="s">
        <v>1336</v>
      </c>
      <c r="D56" s="3" t="s">
        <v>1734</v>
      </c>
      <c r="E56" s="3" t="s">
        <v>1341</v>
      </c>
      <c r="F56" s="3" t="s">
        <v>1735</v>
      </c>
      <c r="H56" s="3" t="s">
        <v>1736</v>
      </c>
      <c r="I56" t="s">
        <v>1737</v>
      </c>
      <c r="J56" t="s">
        <v>1709</v>
      </c>
      <c r="K56" t="s">
        <v>116</v>
      </c>
      <c r="L56" t="s">
        <v>1473</v>
      </c>
      <c r="M56" s="5">
        <f t="shared" si="0"/>
        <v>5</v>
      </c>
    </row>
    <row r="57" spans="1:13" ht="28.8" x14ac:dyDescent="0.3">
      <c r="A57" t="s">
        <v>1738</v>
      </c>
      <c r="B57" s="5">
        <v>10</v>
      </c>
      <c r="C57" t="s">
        <v>1342</v>
      </c>
      <c r="D57" s="3" t="s">
        <v>1739</v>
      </c>
      <c r="E57" s="3" t="s">
        <v>1346</v>
      </c>
      <c r="F57" s="3" t="s">
        <v>1740</v>
      </c>
      <c r="H57" s="3" t="s">
        <v>1741</v>
      </c>
      <c r="I57" t="s">
        <v>1742</v>
      </c>
      <c r="J57" t="s">
        <v>1709</v>
      </c>
      <c r="K57" t="s">
        <v>116</v>
      </c>
      <c r="L57" t="s">
        <v>1473</v>
      </c>
      <c r="M57" s="5">
        <f t="shared" si="0"/>
        <v>6</v>
      </c>
    </row>
    <row r="58" spans="1:13" ht="28.8" x14ac:dyDescent="0.3">
      <c r="A58" t="s">
        <v>1743</v>
      </c>
      <c r="B58" s="5">
        <v>10</v>
      </c>
      <c r="C58" t="s">
        <v>1342</v>
      </c>
      <c r="D58" s="3" t="s">
        <v>1744</v>
      </c>
      <c r="E58" s="3" t="s">
        <v>1745</v>
      </c>
      <c r="F58" s="3" t="s">
        <v>1746</v>
      </c>
      <c r="H58" s="3" t="s">
        <v>1741</v>
      </c>
      <c r="I58" t="s">
        <v>1742</v>
      </c>
      <c r="J58" t="s">
        <v>1709</v>
      </c>
      <c r="K58" t="s">
        <v>116</v>
      </c>
      <c r="L58" t="s">
        <v>1473</v>
      </c>
      <c r="M58" s="5">
        <f t="shared" si="0"/>
        <v>5</v>
      </c>
    </row>
    <row r="59" spans="1:13" ht="28.8" x14ac:dyDescent="0.3">
      <c r="A59" t="s">
        <v>1747</v>
      </c>
      <c r="B59" s="5">
        <v>10</v>
      </c>
      <c r="C59" t="s">
        <v>1336</v>
      </c>
      <c r="D59" s="3" t="s">
        <v>1748</v>
      </c>
      <c r="E59" s="3" t="s">
        <v>1749</v>
      </c>
      <c r="F59" s="3" t="s">
        <v>1750</v>
      </c>
      <c r="H59" s="3" t="s">
        <v>1736</v>
      </c>
      <c r="I59" t="s">
        <v>1751</v>
      </c>
      <c r="J59" t="s">
        <v>1709</v>
      </c>
      <c r="K59" t="s">
        <v>116</v>
      </c>
      <c r="L59" t="s">
        <v>1473</v>
      </c>
      <c r="M59" s="5">
        <f t="shared" si="0"/>
        <v>5</v>
      </c>
    </row>
    <row r="60" spans="1:13" ht="28.8" x14ac:dyDescent="0.3">
      <c r="A60" t="s">
        <v>1752</v>
      </c>
      <c r="B60" s="5">
        <v>10</v>
      </c>
      <c r="C60" t="s">
        <v>1347</v>
      </c>
      <c r="D60" s="3" t="s">
        <v>1753</v>
      </c>
      <c r="E60" s="3" t="s">
        <v>1352</v>
      </c>
      <c r="F60" s="3" t="s">
        <v>1754</v>
      </c>
      <c r="H60" s="3" t="s">
        <v>1755</v>
      </c>
      <c r="I60" t="s">
        <v>1756</v>
      </c>
      <c r="J60" t="s">
        <v>1709</v>
      </c>
      <c r="K60" t="s">
        <v>116</v>
      </c>
      <c r="L60" t="s">
        <v>1473</v>
      </c>
      <c r="M60" s="5">
        <f t="shared" si="0"/>
        <v>5</v>
      </c>
    </row>
    <row r="61" spans="1:13" ht="28.8" x14ac:dyDescent="0.3">
      <c r="A61" t="s">
        <v>1757</v>
      </c>
      <c r="B61" s="5">
        <v>10</v>
      </c>
      <c r="C61" t="s">
        <v>1347</v>
      </c>
      <c r="D61" s="3" t="s">
        <v>1758</v>
      </c>
      <c r="E61" s="3" t="s">
        <v>1759</v>
      </c>
      <c r="F61" s="3" t="s">
        <v>1760</v>
      </c>
      <c r="H61" s="3" t="s">
        <v>1755</v>
      </c>
      <c r="I61" t="s">
        <v>1756</v>
      </c>
      <c r="J61" t="s">
        <v>1709</v>
      </c>
      <c r="K61" t="s">
        <v>116</v>
      </c>
      <c r="L61" t="s">
        <v>1473</v>
      </c>
      <c r="M61" s="5">
        <f t="shared" si="0"/>
        <v>5</v>
      </c>
    </row>
    <row r="62" spans="1:13" ht="28.8" x14ac:dyDescent="0.3">
      <c r="A62" t="s">
        <v>1761</v>
      </c>
      <c r="B62" s="5">
        <v>11</v>
      </c>
      <c r="C62" t="s">
        <v>1359</v>
      </c>
      <c r="D62" s="3" t="s">
        <v>1762</v>
      </c>
      <c r="E62" s="3" t="s">
        <v>1763</v>
      </c>
      <c r="F62" s="3" t="s">
        <v>1764</v>
      </c>
      <c r="H62" s="3" t="s">
        <v>1765</v>
      </c>
      <c r="I62" t="s">
        <v>1766</v>
      </c>
      <c r="J62" t="s">
        <v>1709</v>
      </c>
      <c r="K62" t="s">
        <v>116</v>
      </c>
      <c r="L62" t="s">
        <v>1473</v>
      </c>
      <c r="M62" s="5">
        <f t="shared" si="0"/>
        <v>6</v>
      </c>
    </row>
    <row r="63" spans="1:13" ht="28.8" x14ac:dyDescent="0.3">
      <c r="A63" t="s">
        <v>1767</v>
      </c>
      <c r="B63" s="5">
        <v>11</v>
      </c>
      <c r="C63" t="s">
        <v>1359</v>
      </c>
      <c r="D63" s="3" t="s">
        <v>1768</v>
      </c>
      <c r="E63" s="3" t="s">
        <v>1769</v>
      </c>
      <c r="F63" s="3" t="s">
        <v>1770</v>
      </c>
      <c r="H63" s="3" t="s">
        <v>1765</v>
      </c>
      <c r="I63" t="s">
        <v>1766</v>
      </c>
      <c r="J63" t="s">
        <v>1709</v>
      </c>
      <c r="K63" t="s">
        <v>116</v>
      </c>
      <c r="L63" t="s">
        <v>1473</v>
      </c>
      <c r="M63" s="5">
        <f t="shared" si="0"/>
        <v>8</v>
      </c>
    </row>
    <row r="64" spans="1:13" ht="28.8" x14ac:dyDescent="0.3">
      <c r="A64" t="s">
        <v>1771</v>
      </c>
      <c r="B64" s="5">
        <v>11</v>
      </c>
      <c r="C64" t="s">
        <v>1365</v>
      </c>
      <c r="D64" s="3" t="s">
        <v>1772</v>
      </c>
      <c r="E64" s="3" t="s">
        <v>1370</v>
      </c>
      <c r="F64" s="3" t="s">
        <v>1773</v>
      </c>
      <c r="H64" s="3" t="s">
        <v>1774</v>
      </c>
      <c r="I64" t="s">
        <v>838</v>
      </c>
      <c r="J64" t="s">
        <v>1709</v>
      </c>
      <c r="K64" t="s">
        <v>116</v>
      </c>
      <c r="L64" t="s">
        <v>1473</v>
      </c>
      <c r="M64" s="5">
        <f t="shared" si="0"/>
        <v>5</v>
      </c>
    </row>
    <row r="65" spans="1:13" ht="28.8" x14ac:dyDescent="0.3">
      <c r="A65" t="s">
        <v>1775</v>
      </c>
      <c r="B65" s="5">
        <v>11</v>
      </c>
      <c r="C65" t="s">
        <v>1371</v>
      </c>
      <c r="D65" s="3" t="s">
        <v>1776</v>
      </c>
      <c r="E65" s="3" t="s">
        <v>1777</v>
      </c>
      <c r="F65" s="3" t="s">
        <v>1778</v>
      </c>
      <c r="H65" s="3" t="s">
        <v>1779</v>
      </c>
      <c r="I65" t="s">
        <v>838</v>
      </c>
      <c r="J65" t="s">
        <v>1709</v>
      </c>
      <c r="K65" t="s">
        <v>116</v>
      </c>
      <c r="L65" t="s">
        <v>1473</v>
      </c>
      <c r="M65" s="5">
        <f t="shared" si="0"/>
        <v>6</v>
      </c>
    </row>
    <row r="66" spans="1:13" ht="28.8" x14ac:dyDescent="0.3">
      <c r="A66" t="s">
        <v>1780</v>
      </c>
      <c r="B66" s="5">
        <v>11</v>
      </c>
      <c r="C66" t="s">
        <v>1365</v>
      </c>
      <c r="D66" s="3" t="s">
        <v>1781</v>
      </c>
      <c r="E66" s="3" t="s">
        <v>1782</v>
      </c>
      <c r="F66" s="3" t="s">
        <v>1783</v>
      </c>
      <c r="H66" s="3" t="s">
        <v>1774</v>
      </c>
      <c r="I66" t="s">
        <v>838</v>
      </c>
      <c r="J66" t="s">
        <v>1709</v>
      </c>
      <c r="K66" t="s">
        <v>116</v>
      </c>
      <c r="L66" t="s">
        <v>1473</v>
      </c>
      <c r="M66" s="5">
        <f t="shared" ref="M66:M73" si="1">IF(F66="",0,LEN(F66)-LEN(SUBSTITUTE(F66,"|",""))+1)</f>
        <v>6</v>
      </c>
    </row>
    <row r="67" spans="1:13" ht="28.8" x14ac:dyDescent="0.3">
      <c r="A67" t="s">
        <v>1784</v>
      </c>
      <c r="B67" s="5">
        <v>11</v>
      </c>
      <c r="C67" t="s">
        <v>1371</v>
      </c>
      <c r="D67" s="3" t="s">
        <v>1785</v>
      </c>
      <c r="E67" s="3" t="s">
        <v>1786</v>
      </c>
      <c r="F67" s="3" t="s">
        <v>1787</v>
      </c>
      <c r="H67" s="3" t="s">
        <v>1779</v>
      </c>
      <c r="I67" t="s">
        <v>838</v>
      </c>
      <c r="J67" t="s">
        <v>1709</v>
      </c>
      <c r="K67" t="s">
        <v>116</v>
      </c>
      <c r="L67" t="s">
        <v>1473</v>
      </c>
      <c r="M67" s="5">
        <f t="shared" si="1"/>
        <v>8</v>
      </c>
    </row>
    <row r="68" spans="1:13" ht="28.8" x14ac:dyDescent="0.3">
      <c r="A68" t="s">
        <v>1788</v>
      </c>
      <c r="B68" s="5">
        <v>12</v>
      </c>
      <c r="C68" t="s">
        <v>1271</v>
      </c>
      <c r="D68" s="3" t="s">
        <v>1789</v>
      </c>
      <c r="E68" s="3" t="s">
        <v>1790</v>
      </c>
      <c r="F68" s="3" t="s">
        <v>1791</v>
      </c>
      <c r="H68" s="3" t="s">
        <v>1792</v>
      </c>
      <c r="I68" t="s">
        <v>1793</v>
      </c>
      <c r="J68" t="s">
        <v>1709</v>
      </c>
      <c r="K68" t="s">
        <v>116</v>
      </c>
      <c r="L68" t="s">
        <v>1473</v>
      </c>
      <c r="M68" s="5">
        <f t="shared" si="1"/>
        <v>5</v>
      </c>
    </row>
    <row r="69" spans="1:13" ht="28.8" x14ac:dyDescent="0.3">
      <c r="A69" t="s">
        <v>1794</v>
      </c>
      <c r="B69" s="5">
        <v>12</v>
      </c>
      <c r="C69" t="s">
        <v>1277</v>
      </c>
      <c r="D69" s="3" t="s">
        <v>1795</v>
      </c>
      <c r="E69" s="3" t="s">
        <v>1796</v>
      </c>
      <c r="F69" s="3" t="s">
        <v>1797</v>
      </c>
      <c r="H69" s="3" t="s">
        <v>1798</v>
      </c>
      <c r="I69" t="s">
        <v>1799</v>
      </c>
      <c r="J69" t="s">
        <v>1709</v>
      </c>
      <c r="K69" t="s">
        <v>116</v>
      </c>
      <c r="L69" t="s">
        <v>1473</v>
      </c>
      <c r="M69" s="5">
        <f t="shared" si="1"/>
        <v>5</v>
      </c>
    </row>
    <row r="70" spans="1:13" ht="28.8" x14ac:dyDescent="0.3">
      <c r="A70" t="s">
        <v>1800</v>
      </c>
      <c r="B70" s="5">
        <v>12</v>
      </c>
      <c r="C70" t="s">
        <v>1376</v>
      </c>
      <c r="D70" s="3" t="s">
        <v>1801</v>
      </c>
      <c r="E70" s="3" t="s">
        <v>1802</v>
      </c>
      <c r="F70" s="3" t="s">
        <v>1803</v>
      </c>
      <c r="H70" s="3" t="s">
        <v>1804</v>
      </c>
      <c r="I70" t="s">
        <v>1805</v>
      </c>
      <c r="J70" t="s">
        <v>1709</v>
      </c>
      <c r="K70" t="s">
        <v>116</v>
      </c>
      <c r="L70" t="s">
        <v>1473</v>
      </c>
      <c r="M70" s="5">
        <f t="shared" si="1"/>
        <v>9</v>
      </c>
    </row>
    <row r="71" spans="1:13" ht="43.2" x14ac:dyDescent="0.3">
      <c r="A71" t="s">
        <v>1806</v>
      </c>
      <c r="B71" s="5">
        <v>12</v>
      </c>
      <c r="C71" t="s">
        <v>1376</v>
      </c>
      <c r="D71" s="3" t="s">
        <v>1807</v>
      </c>
      <c r="E71" s="3" t="s">
        <v>1808</v>
      </c>
      <c r="F71" s="3" t="s">
        <v>1809</v>
      </c>
      <c r="H71" s="3" t="s">
        <v>1804</v>
      </c>
      <c r="I71" t="s">
        <v>1805</v>
      </c>
      <c r="J71" t="s">
        <v>1709</v>
      </c>
      <c r="K71" t="s">
        <v>116</v>
      </c>
      <c r="L71" t="s">
        <v>1473</v>
      </c>
      <c r="M71" s="5">
        <f t="shared" si="1"/>
        <v>12</v>
      </c>
    </row>
    <row r="72" spans="1:13" ht="28.8" x14ac:dyDescent="0.3">
      <c r="A72" t="s">
        <v>1810</v>
      </c>
      <c r="B72" s="5">
        <v>12</v>
      </c>
      <c r="C72" t="s">
        <v>1271</v>
      </c>
      <c r="D72" s="3" t="s">
        <v>1811</v>
      </c>
      <c r="E72" s="3" t="s">
        <v>1812</v>
      </c>
      <c r="F72" s="3" t="s">
        <v>1813</v>
      </c>
      <c r="H72" s="3" t="s">
        <v>1792</v>
      </c>
      <c r="I72" t="s">
        <v>1793</v>
      </c>
      <c r="J72" t="s">
        <v>1709</v>
      </c>
      <c r="K72" t="s">
        <v>116</v>
      </c>
      <c r="L72" t="s">
        <v>1473</v>
      </c>
      <c r="M72" s="5">
        <f t="shared" si="1"/>
        <v>5</v>
      </c>
    </row>
    <row r="73" spans="1:13" ht="28.8" x14ac:dyDescent="0.3">
      <c r="A73" t="s">
        <v>1814</v>
      </c>
      <c r="B73" s="5">
        <v>12</v>
      </c>
      <c r="C73" t="s">
        <v>1277</v>
      </c>
      <c r="D73" s="3" t="s">
        <v>1815</v>
      </c>
      <c r="E73" s="3" t="s">
        <v>1816</v>
      </c>
      <c r="F73" s="3" t="s">
        <v>1817</v>
      </c>
      <c r="H73" s="3" t="s">
        <v>1798</v>
      </c>
      <c r="I73" t="s">
        <v>1818</v>
      </c>
      <c r="J73" t="s">
        <v>1709</v>
      </c>
      <c r="K73" t="s">
        <v>116</v>
      </c>
      <c r="L73" t="s">
        <v>1473</v>
      </c>
      <c r="M73" s="5">
        <f t="shared" si="1"/>
        <v>8</v>
      </c>
    </row>
  </sheetData>
  <conditionalFormatting sqref="B2:B73">
    <cfRule type="colorScale" priority="1">
      <colorScale>
        <cfvo type="min"/>
        <cfvo type="percentile" val="50"/>
        <cfvo type="max"/>
        <color rgb="FFE8F3F8"/>
        <color rgb="FFFFE3A3"/>
        <color rgb="FFD97706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Levels</vt:lpstr>
      <vt:lpstr>Words</vt:lpstr>
      <vt:lpstr>Verb_Forms</vt:lpstr>
      <vt:lpstr>Patterns</vt:lpstr>
      <vt:lpstr>Pattern_Slots</vt:lpstr>
      <vt:lpstr>Challenges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Bernal</dc:creator>
  <cp:lastModifiedBy>Felipe Bernal</cp:lastModifiedBy>
  <dcterms:created xsi:type="dcterms:W3CDTF">2026-10-02T03:21:37Z</dcterms:created>
  <dcterms:modified xsi:type="dcterms:W3CDTF">2026-10-15T23:41:25Z</dcterms:modified>
</cp:coreProperties>
</file>